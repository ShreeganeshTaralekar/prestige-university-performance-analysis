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6fc7df0932650/Desktop/University Performance/"/>
    </mc:Choice>
  </mc:AlternateContent>
  <xr:revisionPtr revIDLastSave="170" documentId="8_{D33234B9-E125-4848-A3BF-D5C0C9891BD2}" xr6:coauthVersionLast="47" xr6:coauthVersionMax="47" xr10:uidLastSave="{CCFDEFAD-DA2F-4926-B4F1-4B55601B1729}"/>
  <bookViews>
    <workbookView xWindow="-108" yWindow="-108" windowWidth="23256" windowHeight="13896" firstSheet="8" activeTab="10" xr2:uid="{40CFB5C5-71FE-4F56-8B67-58DDBD35693C}"/>
  </bookViews>
  <sheets>
    <sheet name="1 Campus" sheetId="2" r:id="rId1"/>
    <sheet name="2 Faculty" sheetId="3" r:id="rId2"/>
    <sheet name="3 Department" sheetId="4" r:id="rId3"/>
    <sheet name="4 Course" sheetId="5" r:id="rId4"/>
    <sheet name="5 Instructor" sheetId="6" r:id="rId5"/>
    <sheet name="6 Student" sheetId="7" r:id="rId6"/>
    <sheet name="7 Date" sheetId="8" r:id="rId7"/>
    <sheet name="8 Fact Course Enrollment" sheetId="9" r:id="rId8"/>
    <sheet name="Provost’s Dashboard" sheetId="1" r:id="rId9"/>
    <sheet name="Department Chair's Dashboard" sheetId="12" r:id="rId10"/>
    <sheet name="Registrar's Operational Dashboa" sheetId="13" r:id="rId11"/>
  </sheets>
  <definedNames>
    <definedName name="_xlcn.WorksheetConnection_Book1_1_Campus1" hidden="1">_1_Campus[]</definedName>
    <definedName name="_xlcn.WorksheetConnection_Book1_2_Faculty1" hidden="1">_2_Faculty[]</definedName>
    <definedName name="_xlcn.WorksheetConnection_Book1_3_Department1" hidden="1">_3_Department[]</definedName>
    <definedName name="_xlcn.WorksheetConnection_Book1_4_Course1" hidden="1">_4_Course[]</definedName>
    <definedName name="_xlcn.WorksheetConnection_Book1_5_Instructor1" hidden="1">_5_Instructor[]</definedName>
    <definedName name="_xlcn.WorksheetConnection_Book1_6_Student1" hidden="1">_6_Student[]</definedName>
    <definedName name="_xlcn.WorksheetConnection_Book1_7_Date1" hidden="1">_7_Date[]</definedName>
    <definedName name="_xlcn.WorksheetConnection_Book1_8_Fact_Course_Enrollment1" hidden="1">_8_Fact_Course_Enrollment[]</definedName>
    <definedName name="ExternalData_1" localSheetId="0" hidden="1">'1 Campus'!$A$1:$D$4</definedName>
    <definedName name="ExternalData_1" localSheetId="1" hidden="1">'2 Faculty'!$A$1:$C$6</definedName>
    <definedName name="ExternalData_1" localSheetId="2" hidden="1">'3 Department'!$A$1:$D$11</definedName>
    <definedName name="ExternalData_1" localSheetId="3" hidden="1">'4 Course'!$A$1:$F$11</definedName>
    <definedName name="ExternalData_1" localSheetId="4" hidden="1">'5 Instructor'!$A$1:$F$11</definedName>
    <definedName name="ExternalData_1" localSheetId="5" hidden="1">'6 Student'!$A$1:$K$11</definedName>
    <definedName name="ExternalData_1" localSheetId="6" hidden="1">'7 Date'!$A$1:$G$11</definedName>
    <definedName name="ExternalData_1" localSheetId="7" hidden="1">'8 Fact Course Enrollment'!$A$1:$J$11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  <pivotCache cacheId="10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8_Fact_Course_Enrollment" name="_8_Fact_Course_Enrollment" connection="WorksheetConnection_Book1!_8_Fact_Course_Enrollment"/>
          <x15:modelTable id="_7_Date" name="_7_Date" connection="WorksheetConnection_Book1!_7_Date"/>
          <x15:modelTable id="_6_Student" name="_6_Student" connection="WorksheetConnection_Book1!_6_Student"/>
          <x15:modelTable id="_5_Instructor" name="_5_Instructor" connection="WorksheetConnection_Book1!_5_Instructor"/>
          <x15:modelTable id="_4_Course" name="_4_Course" connection="WorksheetConnection_Book1!_4_Course"/>
          <x15:modelTable id="_3_Department" name="_3_Department" connection="WorksheetConnection_Book1!_3_Department"/>
          <x15:modelTable id="_2_Faculty" name="_2_Faculty" connection="WorksheetConnection_Book1!_2_Faculty"/>
          <x15:modelTable id="_1_Campus" name="_1_Campus" connection="WorksheetConnection_Book1!_1_Campus"/>
        </x15:modelTables>
        <x15:modelRelationships>
          <x15:modelRelationship fromTable="_8_Fact_Course_Enrollment" fromColumn="student_id" toTable="_6_Student" toColumn="student_id"/>
          <x15:modelRelationship fromTable="_8_Fact_Course_Enrollment" fromColumn="course_id" toTable="_4_Course" toColumn="course_id"/>
          <x15:modelRelationship fromTable="_8_Fact_Course_Enrollment" fromColumn="instructor_id" toTable="_5_Instructor" toColumn="instructor_id"/>
          <x15:modelRelationship fromTable="_8_Fact_Course_Enrollment" fromColumn="campus_id" toTable="_1_Campus" toColumn="campus_id"/>
          <x15:modelRelationship fromTable="_8_Fact_Course_Enrollment" fromColumn="semester_date_id" toTable="_7_Date" toColumn="date_id"/>
          <x15:modelRelationship fromTable="_4_Course" fromColumn="department_id" toTable="_3_Department" toColumn="department_id"/>
          <x15:modelRelationship fromTable="_3_Department" fromColumn="faculty_id" toTable="_2_Faculty" toColumn="facult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1E1E6-441A-415C-9369-F0AD72282F45}" keepAlive="1" name="Query - 1 Campus" description="Connection to the '1 Campus' query in the workbook." type="5" refreshedVersion="8" background="1" saveData="1">
    <dbPr connection="Provider=Microsoft.Mashup.OleDb.1;Data Source=$Workbook$;Location=&quot;1 Campus&quot;;Extended Properties=&quot;&quot;" command="SELECT * FROM [1 Campus]"/>
  </connection>
  <connection id="2" xr16:uid="{A4C0580B-4549-458C-9787-D701E5456569}" keepAlive="1" name="Query - 2 Faculty" description="Connection to the '2 Faculty' query in the workbook." type="5" refreshedVersion="8" background="1" saveData="1">
    <dbPr connection="Provider=Microsoft.Mashup.OleDb.1;Data Source=$Workbook$;Location=&quot;2 Faculty&quot;;Extended Properties=&quot;&quot;" command="SELECT * FROM [2 Faculty]"/>
  </connection>
  <connection id="3" xr16:uid="{792342DB-7D43-4D76-B705-FD1B4AD09AF5}" keepAlive="1" name="Query - 3 Department" description="Connection to the '3 Department' query in the workbook." type="5" refreshedVersion="8" background="1" saveData="1">
    <dbPr connection="Provider=Microsoft.Mashup.OleDb.1;Data Source=$Workbook$;Location=&quot;3 Department&quot;;Extended Properties=&quot;&quot;" command="SELECT * FROM [3 Department]"/>
  </connection>
  <connection id="4" xr16:uid="{6C82481D-39B4-4AE0-A9D0-ADC01E1FE4A5}" keepAlive="1" name="Query - 4 Course" description="Connection to the '4 Course' query in the workbook." type="5" refreshedVersion="8" background="1" saveData="1">
    <dbPr connection="Provider=Microsoft.Mashup.OleDb.1;Data Source=$Workbook$;Location=&quot;4 Course&quot;;Extended Properties=&quot;&quot;" command="SELECT * FROM [4 Course]"/>
  </connection>
  <connection id="5" xr16:uid="{1405722A-FC6C-45A4-B5F6-7E7A04846BA8}" keepAlive="1" name="Query - 5 Instructor" description="Connection to the '5 Instructor' query in the workbook." type="5" refreshedVersion="8" background="1" saveData="1">
    <dbPr connection="Provider=Microsoft.Mashup.OleDb.1;Data Source=$Workbook$;Location=&quot;5 Instructor&quot;;Extended Properties=&quot;&quot;" command="SELECT * FROM [5 Instructor]"/>
  </connection>
  <connection id="6" xr16:uid="{1BC6358C-A59C-4CD2-861C-EAB9F6966087}" keepAlive="1" name="Query - 6 Student" description="Connection to the '6 Student' query in the workbook." type="5" refreshedVersion="8" background="1" saveData="1">
    <dbPr connection="Provider=Microsoft.Mashup.OleDb.1;Data Source=$Workbook$;Location=&quot;6 Student&quot;;Extended Properties=&quot;&quot;" command="SELECT * FROM [6 Student]"/>
  </connection>
  <connection id="7" xr16:uid="{2E153082-D758-4296-9C2B-F110E66016EF}" keepAlive="1" name="Query - 7 Date" description="Connection to the '7 Date' query in the workbook." type="5" refreshedVersion="8" background="1" saveData="1">
    <dbPr connection="Provider=Microsoft.Mashup.OleDb.1;Data Source=$Workbook$;Location=&quot;7 Date&quot;;Extended Properties=&quot;&quot;" command="SELECT * FROM [7 Date]"/>
  </connection>
  <connection id="8" xr16:uid="{A920062F-E55E-4ECF-99BC-417623C94570}" keepAlive="1" name="Query - 8 Fact Course Enrollment" description="Connection to the '8 Fact Course Enrollment' query in the workbook." type="5" refreshedVersion="8" background="1" saveData="1">
    <dbPr connection="Provider=Microsoft.Mashup.OleDb.1;Data Source=$Workbook$;Location=&quot;8 Fact Course Enrollment&quot;;Extended Properties=&quot;&quot;" command="SELECT * FROM [8 Fact Course Enrollment]"/>
  </connection>
  <connection id="9" xr16:uid="{99C61097-D2A3-45BA-B4DB-3DBA954357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CE481959-0E8B-49D9-9EFF-B2A34D91788D}" name="WorksheetConnection_Book1!_1_Campus" type="102" refreshedVersion="8" minRefreshableVersion="5">
    <extLst>
      <ext xmlns:x15="http://schemas.microsoft.com/office/spreadsheetml/2010/11/main" uri="{DE250136-89BD-433C-8126-D09CA5730AF9}">
        <x15:connection id="_1_Campus">
          <x15:rangePr sourceName="_xlcn.WorksheetConnection_Book1_1_Campus1"/>
        </x15:connection>
      </ext>
    </extLst>
  </connection>
  <connection id="11" xr16:uid="{D1AFCF92-9966-47F4-960D-4EC028A4C8E9}" name="WorksheetConnection_Book1!_2_Faculty" type="102" refreshedVersion="8" minRefreshableVersion="5">
    <extLst>
      <ext xmlns:x15="http://schemas.microsoft.com/office/spreadsheetml/2010/11/main" uri="{DE250136-89BD-433C-8126-D09CA5730AF9}">
        <x15:connection id="_2_Faculty">
          <x15:rangePr sourceName="_xlcn.WorksheetConnection_Book1_2_Faculty1"/>
        </x15:connection>
      </ext>
    </extLst>
  </connection>
  <connection id="12" xr16:uid="{216481E9-3419-4F61-8FD8-F845D37A4EAC}" name="WorksheetConnection_Book1!_3_Department" type="102" refreshedVersion="8" minRefreshableVersion="5">
    <extLst>
      <ext xmlns:x15="http://schemas.microsoft.com/office/spreadsheetml/2010/11/main" uri="{DE250136-89BD-433C-8126-D09CA5730AF9}">
        <x15:connection id="_3_Department">
          <x15:rangePr sourceName="_xlcn.WorksheetConnection_Book1_3_Department1"/>
        </x15:connection>
      </ext>
    </extLst>
  </connection>
  <connection id="13" xr16:uid="{5CBF7EC2-EC8A-4823-8181-5F914BD871F0}" name="WorksheetConnection_Book1!_4_Course" type="102" refreshedVersion="8" minRefreshableVersion="5">
    <extLst>
      <ext xmlns:x15="http://schemas.microsoft.com/office/spreadsheetml/2010/11/main" uri="{DE250136-89BD-433C-8126-D09CA5730AF9}">
        <x15:connection id="_4_Course">
          <x15:rangePr sourceName="_xlcn.WorksheetConnection_Book1_4_Course1"/>
        </x15:connection>
      </ext>
    </extLst>
  </connection>
  <connection id="14" xr16:uid="{B668DF4E-3C80-493B-8FB0-5558FB340F3D}" name="WorksheetConnection_Book1!_5_Instructor" type="102" refreshedVersion="8" minRefreshableVersion="5">
    <extLst>
      <ext xmlns:x15="http://schemas.microsoft.com/office/spreadsheetml/2010/11/main" uri="{DE250136-89BD-433C-8126-D09CA5730AF9}">
        <x15:connection id="_5_Instructor">
          <x15:rangePr sourceName="_xlcn.WorksheetConnection_Book1_5_Instructor1"/>
        </x15:connection>
      </ext>
    </extLst>
  </connection>
  <connection id="15" xr16:uid="{A61E66DC-7303-42D8-BC32-F6FB0087F4DA}" name="WorksheetConnection_Book1!_6_Student" type="102" refreshedVersion="8" minRefreshableVersion="5">
    <extLst>
      <ext xmlns:x15="http://schemas.microsoft.com/office/spreadsheetml/2010/11/main" uri="{DE250136-89BD-433C-8126-D09CA5730AF9}">
        <x15:connection id="_6_Student">
          <x15:rangePr sourceName="_xlcn.WorksheetConnection_Book1_6_Student1"/>
        </x15:connection>
      </ext>
    </extLst>
  </connection>
  <connection id="16" xr16:uid="{ED621D7E-9528-49EB-8712-DD9B23DBB6DF}" name="WorksheetConnection_Book1!_7_Date" type="102" refreshedVersion="8" minRefreshableVersion="5">
    <extLst>
      <ext xmlns:x15="http://schemas.microsoft.com/office/spreadsheetml/2010/11/main" uri="{DE250136-89BD-433C-8126-D09CA5730AF9}">
        <x15:connection id="_7_Date">
          <x15:rangePr sourceName="_xlcn.WorksheetConnection_Book1_7_Date1"/>
        </x15:connection>
      </ext>
    </extLst>
  </connection>
  <connection id="17" xr16:uid="{3187EB9C-4E70-43F6-A3DE-AAC5D6352881}" name="WorksheetConnection_Book1!_8_Fact_Course_Enrollment" type="102" refreshedVersion="8" minRefreshableVersion="5">
    <extLst>
      <ext xmlns:x15="http://schemas.microsoft.com/office/spreadsheetml/2010/11/main" uri="{DE250136-89BD-433C-8126-D09CA5730AF9}">
        <x15:connection id="_8_Fact_Course_Enrollment">
          <x15:rangePr sourceName="_xlcn.WorksheetConnection_Book1_8_Fact_Course_Enrollment1"/>
        </x15:connection>
      </ext>
    </extLst>
  </connection>
</connections>
</file>

<file path=xl/sharedStrings.xml><?xml version="1.0" encoding="utf-8"?>
<sst xmlns="http://schemas.openxmlformats.org/spreadsheetml/2006/main" count="391" uniqueCount="201">
  <si>
    <t>campus_id</t>
  </si>
  <si>
    <t>campus_name</t>
  </si>
  <si>
    <t>location</t>
  </si>
  <si>
    <t>chancellor</t>
  </si>
  <si>
    <t>Main Campus</t>
  </si>
  <si>
    <t>Mumbai</t>
  </si>
  <si>
    <t>Dr. R. Nair</t>
  </si>
  <si>
    <t>North Campus</t>
  </si>
  <si>
    <t>Delhi</t>
  </si>
  <si>
    <t>Dr. P. Kapoor</t>
  </si>
  <si>
    <t>South Campus</t>
  </si>
  <si>
    <t>Chennai</t>
  </si>
  <si>
    <t>Dr. L. Reddy</t>
  </si>
  <si>
    <t>faculty_id</t>
  </si>
  <si>
    <t>faculty_name</t>
  </si>
  <si>
    <t>dean</t>
  </si>
  <si>
    <t>Faculty of Engineering</t>
  </si>
  <si>
    <t>Dr. A. Mehta</t>
  </si>
  <si>
    <t>Faculty of Science</t>
  </si>
  <si>
    <t>Dr. B. Singh</t>
  </si>
  <si>
    <t>Faculty of Arts</t>
  </si>
  <si>
    <t>Dr. C. Rao</t>
  </si>
  <si>
    <t>Faculty of Business</t>
  </si>
  <si>
    <t>Dr. D. Shah</t>
  </si>
  <si>
    <t>Faculty of Medical</t>
  </si>
  <si>
    <t>Dr. E. Patel</t>
  </si>
  <si>
    <t>department_id</t>
  </si>
  <si>
    <t>department_name</t>
  </si>
  <si>
    <t>department_code</t>
  </si>
  <si>
    <t>Computer Engineering</t>
  </si>
  <si>
    <t>CSE</t>
  </si>
  <si>
    <t>Mechanical Engineering</t>
  </si>
  <si>
    <t>ME</t>
  </si>
  <si>
    <t>Physics</t>
  </si>
  <si>
    <t>PHY</t>
  </si>
  <si>
    <t>Chemistry</t>
  </si>
  <si>
    <t>CHE</t>
  </si>
  <si>
    <t>English</t>
  </si>
  <si>
    <t>ENG</t>
  </si>
  <si>
    <t>History</t>
  </si>
  <si>
    <t>HIS</t>
  </si>
  <si>
    <t>Accounts</t>
  </si>
  <si>
    <t>ACC</t>
  </si>
  <si>
    <t>Finance</t>
  </si>
  <si>
    <t>FIN</t>
  </si>
  <si>
    <t>Anatomy</t>
  </si>
  <si>
    <t>ANA</t>
  </si>
  <si>
    <t>Pharmacology</t>
  </si>
  <si>
    <t>PHA</t>
  </si>
  <si>
    <t>course_id</t>
  </si>
  <si>
    <t>course_code</t>
  </si>
  <si>
    <t>course_name</t>
  </si>
  <si>
    <t>course_description</t>
  </si>
  <si>
    <t>credits</t>
  </si>
  <si>
    <t>CSE101</t>
  </si>
  <si>
    <t>Intro to Programming</t>
  </si>
  <si>
    <t>Basics of C programming</t>
  </si>
  <si>
    <t>CSE201</t>
  </si>
  <si>
    <t>Data Structures</t>
  </si>
  <si>
    <t>Study of data structures</t>
  </si>
  <si>
    <t>ME101</t>
  </si>
  <si>
    <t>Thermodynamics</t>
  </si>
  <si>
    <t>Principles of thermodynamics</t>
  </si>
  <si>
    <t>PHY101</t>
  </si>
  <si>
    <t>Classical Mechanics</t>
  </si>
  <si>
    <t>Newtonian mechanics</t>
  </si>
  <si>
    <t>CHE101</t>
  </si>
  <si>
    <t>Organic Chemistry</t>
  </si>
  <si>
    <t>Introduction to organic chemistry</t>
  </si>
  <si>
    <t>ENG101</t>
  </si>
  <si>
    <t>English Literature</t>
  </si>
  <si>
    <t>Study of classic literature</t>
  </si>
  <si>
    <t>HIS101</t>
  </si>
  <si>
    <t>World History</t>
  </si>
  <si>
    <t>History of civilizations</t>
  </si>
  <si>
    <t>ACC101</t>
  </si>
  <si>
    <t>Financial Accounting</t>
  </si>
  <si>
    <t>Principles of accounting</t>
  </si>
  <si>
    <t>FIN101</t>
  </si>
  <si>
    <t>Corporate Finance</t>
  </si>
  <si>
    <t>Basics of finance</t>
  </si>
  <si>
    <t>ANA101</t>
  </si>
  <si>
    <t>Human Anatomy</t>
  </si>
  <si>
    <t>Study of human body structure</t>
  </si>
  <si>
    <t>instructor_id</t>
  </si>
  <si>
    <t>first_name</t>
  </si>
  <si>
    <t>last_name</t>
  </si>
  <si>
    <t>title</t>
  </si>
  <si>
    <t>hire_date</t>
  </si>
  <si>
    <t>Rajesh</t>
  </si>
  <si>
    <t>Kumar</t>
  </si>
  <si>
    <t>Professor</t>
  </si>
  <si>
    <t>Neha</t>
  </si>
  <si>
    <t>Sharma</t>
  </si>
  <si>
    <t>Assoc Prof</t>
  </si>
  <si>
    <t>Amit</t>
  </si>
  <si>
    <t>Patel</t>
  </si>
  <si>
    <t>Priya</t>
  </si>
  <si>
    <t>Rao</t>
  </si>
  <si>
    <t>Suresh</t>
  </si>
  <si>
    <t>Menon</t>
  </si>
  <si>
    <t>Kiran</t>
  </si>
  <si>
    <t>Joshi</t>
  </si>
  <si>
    <t>Vikas</t>
  </si>
  <si>
    <t>Shah</t>
  </si>
  <si>
    <t>Meera</t>
  </si>
  <si>
    <t>Iyer</t>
  </si>
  <si>
    <t>Deepak</t>
  </si>
  <si>
    <t>Desai</t>
  </si>
  <si>
    <t>Anjali</t>
  </si>
  <si>
    <t>Verma</t>
  </si>
  <si>
    <t>student_id</t>
  </si>
  <si>
    <t>date_of_birth</t>
  </si>
  <si>
    <t>gender</t>
  </si>
  <si>
    <t>ethnicity</t>
  </si>
  <si>
    <t>enrollment_status</t>
  </si>
  <si>
    <t>major_department_id</t>
  </si>
  <si>
    <t>admission_date</t>
  </si>
  <si>
    <t>expected_grad_date</t>
  </si>
  <si>
    <t>Arjun</t>
  </si>
  <si>
    <t>Reddy</t>
  </si>
  <si>
    <t>Male</t>
  </si>
  <si>
    <t>Asian</t>
  </si>
  <si>
    <t>Active</t>
  </si>
  <si>
    <t>Sneha</t>
  </si>
  <si>
    <t>Kapoor</t>
  </si>
  <si>
    <t>Female</t>
  </si>
  <si>
    <t>Rahul</t>
  </si>
  <si>
    <t>Pooja</t>
  </si>
  <si>
    <t>Nair</t>
  </si>
  <si>
    <t>Karan</t>
  </si>
  <si>
    <t>Mehta</t>
  </si>
  <si>
    <t>Ananya</t>
  </si>
  <si>
    <t>Rohan</t>
  </si>
  <si>
    <t>Divya</t>
  </si>
  <si>
    <t>Patil</t>
  </si>
  <si>
    <t>Vikram</t>
  </si>
  <si>
    <t>Deshmukh</t>
  </si>
  <si>
    <t>Meena</t>
  </si>
  <si>
    <t>Kulkarni</t>
  </si>
  <si>
    <t>date_id</t>
  </si>
  <si>
    <t>full_date</t>
  </si>
  <si>
    <t>academic_year</t>
  </si>
  <si>
    <t>academic_semester</t>
  </si>
  <si>
    <t>academic_term</t>
  </si>
  <si>
    <t>is_holiday</t>
  </si>
  <si>
    <t>fiscal_period</t>
  </si>
  <si>
    <t>2021-2022</t>
  </si>
  <si>
    <t>Fall</t>
  </si>
  <si>
    <t>Fall 2021</t>
  </si>
  <si>
    <t>Q3</t>
  </si>
  <si>
    <t>Spring</t>
  </si>
  <si>
    <t>Spring 2022</t>
  </si>
  <si>
    <t>Q1</t>
  </si>
  <si>
    <t>2022-2023</t>
  </si>
  <si>
    <t>Fall 2022</t>
  </si>
  <si>
    <t>Spring 2023</t>
  </si>
  <si>
    <t>2023-2024</t>
  </si>
  <si>
    <t>Fall 2023</t>
  </si>
  <si>
    <t>Spring 2024</t>
  </si>
  <si>
    <t>Summer</t>
  </si>
  <si>
    <t>Summer 2022</t>
  </si>
  <si>
    <t>Q2</t>
  </si>
  <si>
    <t>Summer 2023</t>
  </si>
  <si>
    <t>Summer 2024</t>
  </si>
  <si>
    <t>Q4</t>
  </si>
  <si>
    <t>enrollment_id</t>
  </si>
  <si>
    <t>semester_date_id</t>
  </si>
  <si>
    <t>final_grade</t>
  </si>
  <si>
    <t>grade_letter</t>
  </si>
  <si>
    <t>credits_earned</t>
  </si>
  <si>
    <t>status</t>
  </si>
  <si>
    <t>A</t>
  </si>
  <si>
    <t>Completed</t>
  </si>
  <si>
    <t>B</t>
  </si>
  <si>
    <t>C</t>
  </si>
  <si>
    <t>D</t>
  </si>
  <si>
    <t>Withdrawn</t>
  </si>
  <si>
    <t>Column Labels</t>
  </si>
  <si>
    <t>Grand Total</t>
  </si>
  <si>
    <t>Row Labels</t>
  </si>
  <si>
    <t>Count of enrollment_id</t>
  </si>
  <si>
    <t>Average of final_grade</t>
  </si>
  <si>
    <t>Count of student_id</t>
  </si>
  <si>
    <t>DFW Rate</t>
  </si>
  <si>
    <t>Department_name</t>
  </si>
  <si>
    <t>Course_name</t>
  </si>
  <si>
    <t>Course enrollment heatmaps</t>
  </si>
  <si>
    <t>Student performance by course</t>
  </si>
  <si>
    <t>Instructor_name</t>
  </si>
  <si>
    <t>Sum of credits_earned</t>
  </si>
  <si>
    <t>Average of Time to Degree (Years)</t>
  </si>
  <si>
    <t>Enrollment Capacity</t>
  </si>
  <si>
    <t>Enrollment Utilization</t>
  </si>
  <si>
    <t>Utilization %</t>
  </si>
  <si>
    <t>Student credit hour generation by department</t>
  </si>
  <si>
    <t>Time-to-degree analysis</t>
  </si>
  <si>
    <t>Trends in major declarations</t>
  </si>
  <si>
    <t>Enrollment capacity vs. utilization</t>
  </si>
  <si>
    <t>Average grade distribution of  department's courses</t>
  </si>
  <si>
    <t>Instructor workload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</si>
</sst>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0" fontId="0" fillId="3" borderId="0" xfId="0" applyFill="1"/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0" xfId="0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0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47" Type="http://schemas.openxmlformats.org/officeDocument/2006/relationships/customXml" Target="../customXml/item19.xml"/><Relationship Id="rId50" Type="http://schemas.openxmlformats.org/officeDocument/2006/relationships/customXml" Target="../customXml/item22.xml"/><Relationship Id="rId55" Type="http://schemas.openxmlformats.org/officeDocument/2006/relationships/customXml" Target="../customXml/item27.xml"/><Relationship Id="rId63" Type="http://schemas.openxmlformats.org/officeDocument/2006/relationships/customXml" Target="../customXml/item3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3" Type="http://schemas.openxmlformats.org/officeDocument/2006/relationships/customXml" Target="../customXml/item25.xml"/><Relationship Id="rId58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3.xml"/><Relationship Id="rId1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48" Type="http://schemas.openxmlformats.org/officeDocument/2006/relationships/customXml" Target="../customXml/item20.xml"/><Relationship Id="rId56" Type="http://schemas.openxmlformats.org/officeDocument/2006/relationships/customXml" Target="../customXml/item28.xml"/><Relationship Id="rId64" Type="http://schemas.openxmlformats.org/officeDocument/2006/relationships/customXml" Target="../customXml/item3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tyles" Target="style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59" Type="http://schemas.openxmlformats.org/officeDocument/2006/relationships/customXml" Target="../customXml/item31.xml"/><Relationship Id="rId20" Type="http://schemas.openxmlformats.org/officeDocument/2006/relationships/pivotCacheDefinition" Target="pivotCache/pivotCacheDefinition9.xml"/><Relationship Id="rId41" Type="http://schemas.openxmlformats.org/officeDocument/2006/relationships/customXml" Target="../customXml/item13.xml"/><Relationship Id="rId54" Type="http://schemas.openxmlformats.org/officeDocument/2006/relationships/customXml" Target="../customXml/item26.xml"/><Relationship Id="rId62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36" Type="http://schemas.openxmlformats.org/officeDocument/2006/relationships/customXml" Target="../customXml/item8.xml"/><Relationship Id="rId49" Type="http://schemas.openxmlformats.org/officeDocument/2006/relationships/customXml" Target="../customXml/item21.xml"/><Relationship Id="rId57" Type="http://schemas.openxmlformats.org/officeDocument/2006/relationships/customXml" Target="../customXml/item29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52" Type="http://schemas.openxmlformats.org/officeDocument/2006/relationships/customXml" Target="../customXml/item24.xml"/><Relationship Id="rId60" Type="http://schemas.openxmlformats.org/officeDocument/2006/relationships/customXml" Target="../customXml/item32.xml"/><Relationship Id="rId65" Type="http://schemas.openxmlformats.org/officeDocument/2006/relationships/customXml" Target="../customXml/item3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9" Type="http://schemas.openxmlformats.org/officeDocument/2006/relationships/customXml" Target="../customXml/item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Performance.xlsx]Provost’s Dashboard!PivotTable2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University-wide enrollment trends over time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4684287812041116E-2"/>
              <c:y val="-5.64971751412429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'Provost’s Dashboard'!$B$10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B25-4BAA-8344-8BD7FC5A5988}"/>
              </c:ext>
            </c:extLst>
          </c:dPt>
          <c:dLbls>
            <c:dLbl>
              <c:idx val="1"/>
              <c:layout>
                <c:manualLayout>
                  <c:x val="-1.4684287812041116E-2"/>
                  <c:y val="-5.6497175141242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25-4BAA-8344-8BD7FC5A5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'Provost’s Dashboard'!$A$11:$A$14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'Provost’s Dashboard'!$B$11:$B$14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5-4BAA-8344-8BD7FC5A5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272383"/>
        <c:axId val="343271423"/>
      </c:lineChart>
      <c:catAx>
        <c:axId val="34327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71423"/>
        <c:crosses val="autoZero"/>
        <c:auto val="1"/>
        <c:lblAlgn val="ctr"/>
        <c:lblOffset val="100"/>
        <c:noMultiLvlLbl val="0"/>
      </c:catAx>
      <c:valAx>
        <c:axId val="3432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7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Performance.xlsx]Provost’s Dashboard!PivotTable3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GPA by faculty and campus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'Provost’s Dashboard'!$E$9:$E$10</c:f>
              <c:strCache>
                <c:ptCount val="1"/>
                <c:pt idx="0">
                  <c:v>Main Campus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'Provost’s Dashboard'!$D$11:$D$16</c:f>
              <c:strCache>
                <c:ptCount val="5"/>
                <c:pt idx="0">
                  <c:v>Faculty of Arts</c:v>
                </c:pt>
                <c:pt idx="1">
                  <c:v>Faculty of Business</c:v>
                </c:pt>
                <c:pt idx="2">
                  <c:v>Faculty of Engineering</c:v>
                </c:pt>
                <c:pt idx="3">
                  <c:v>Faculty of Medical</c:v>
                </c:pt>
                <c:pt idx="4">
                  <c:v>Faculty of Science</c:v>
                </c:pt>
              </c:strCache>
            </c:strRef>
          </c:cat>
          <c:val>
            <c:numRef>
              <c:f>'Provost’s Dashboard'!$E$11:$E$16</c:f>
              <c:numCache>
                <c:formatCode>General</c:formatCode>
                <c:ptCount val="5"/>
                <c:pt idx="2">
                  <c:v>3.2333333333333329</c:v>
                </c:pt>
                <c:pt idx="3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1-494E-A7D0-101FD99F59A1}"/>
            </c:ext>
          </c:extLst>
        </c:ser>
        <c:ser>
          <c:idx val="1"/>
          <c:order val="1"/>
          <c:tx>
            <c:strRef>
              <c:f>'Provost’s Dashboard'!$F$9:$F$10</c:f>
              <c:strCache>
                <c:ptCount val="1"/>
                <c:pt idx="0">
                  <c:v>North Campus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'Provost’s Dashboard'!$D$11:$D$16</c:f>
              <c:strCache>
                <c:ptCount val="5"/>
                <c:pt idx="0">
                  <c:v>Faculty of Arts</c:v>
                </c:pt>
                <c:pt idx="1">
                  <c:v>Faculty of Business</c:v>
                </c:pt>
                <c:pt idx="2">
                  <c:v>Faculty of Engineering</c:v>
                </c:pt>
                <c:pt idx="3">
                  <c:v>Faculty of Medical</c:v>
                </c:pt>
                <c:pt idx="4">
                  <c:v>Faculty of Science</c:v>
                </c:pt>
              </c:strCache>
            </c:strRef>
          </c:cat>
          <c:val>
            <c:numRef>
              <c:f>'Provost’s Dashboard'!$F$11:$F$16</c:f>
              <c:numCache>
                <c:formatCode>General</c:formatCode>
                <c:ptCount val="5"/>
                <c:pt idx="0">
                  <c:v>3</c:v>
                </c:pt>
                <c:pt idx="4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7-44DC-8B1B-46BCB68394D8}"/>
            </c:ext>
          </c:extLst>
        </c:ser>
        <c:ser>
          <c:idx val="2"/>
          <c:order val="2"/>
          <c:tx>
            <c:strRef>
              <c:f>'Provost’s Dashboard'!$G$9:$G$10</c:f>
              <c:strCache>
                <c:ptCount val="1"/>
                <c:pt idx="0">
                  <c:v>South Campus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'Provost’s Dashboard'!$D$11:$D$16</c:f>
              <c:strCache>
                <c:ptCount val="5"/>
                <c:pt idx="0">
                  <c:v>Faculty of Arts</c:v>
                </c:pt>
                <c:pt idx="1">
                  <c:v>Faculty of Business</c:v>
                </c:pt>
                <c:pt idx="2">
                  <c:v>Faculty of Engineering</c:v>
                </c:pt>
                <c:pt idx="3">
                  <c:v>Faculty of Medical</c:v>
                </c:pt>
                <c:pt idx="4">
                  <c:v>Faculty of Science</c:v>
                </c:pt>
              </c:strCache>
            </c:strRef>
          </c:cat>
          <c:val>
            <c:numRef>
              <c:f>'Provost’s Dashboard'!$G$11:$G$16</c:f>
              <c:numCache>
                <c:formatCode>General</c:formatCode>
                <c:ptCount val="5"/>
                <c:pt idx="0">
                  <c:v>2.5</c:v>
                </c:pt>
                <c:pt idx="1">
                  <c:v>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7-44DC-8B1B-46BCB68394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43300223"/>
        <c:axId val="343299263"/>
      </c:barChart>
      <c:catAx>
        <c:axId val="34330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99263"/>
        <c:crosses val="autoZero"/>
        <c:auto val="1"/>
        <c:lblAlgn val="ctr"/>
        <c:lblOffset val="100"/>
        <c:noMultiLvlLbl val="0"/>
      </c:catAx>
      <c:valAx>
        <c:axId val="34329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Performance.xlsx]Provost’s Dashboard!PivotTable4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Demographic overview of the student body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'Provost’s Dashboard'!$L$11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0B-4F6C-A5D3-DF8A1500A3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0B-4F6C-A5D3-DF8A1500A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'Provost’s Dashboard'!$K$12:$K$14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'Provost’s Dashboard'!$L$12:$L$14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9-4BA3-8922-B169DD829B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Performance.xlsx]Department Chair's Dashboard!PivotTable6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Average grade distribution for  department's courses</a:t>
            </a:r>
            <a:endParaRPr lang="en-US" sz="1200"/>
          </a:p>
        </c:rich>
      </c:tx>
      <c:layout>
        <c:manualLayout>
          <c:xMode val="edge"/>
          <c:yMode val="edge"/>
          <c:x val="0.125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Chair''s Dashboard'!$G$8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 Chair''s Dashboard'!$F$9:$F$18</c:f>
              <c:strCache>
                <c:ptCount val="9"/>
                <c:pt idx="0">
                  <c:v>Accounts</c:v>
                </c:pt>
                <c:pt idx="1">
                  <c:v>Anatomy</c:v>
                </c:pt>
                <c:pt idx="2">
                  <c:v>Chemistry</c:v>
                </c:pt>
                <c:pt idx="3">
                  <c:v>Computer Engineering</c:v>
                </c:pt>
                <c:pt idx="4">
                  <c:v>English</c:v>
                </c:pt>
                <c:pt idx="5">
                  <c:v>Finance</c:v>
                </c:pt>
                <c:pt idx="6">
                  <c:v>History</c:v>
                </c:pt>
                <c:pt idx="7">
                  <c:v>Mechanical Engineering</c:v>
                </c:pt>
                <c:pt idx="8">
                  <c:v>Physics</c:v>
                </c:pt>
              </c:strCache>
            </c:strRef>
          </c:cat>
          <c:val>
            <c:numRef>
              <c:f>'Department Chair''s Dashboard'!$G$9:$G$18</c:f>
              <c:numCache>
                <c:formatCode>General</c:formatCode>
                <c:ptCount val="9"/>
                <c:pt idx="0">
                  <c:v>3.7</c:v>
                </c:pt>
                <c:pt idx="1">
                  <c:v>3.6</c:v>
                </c:pt>
                <c:pt idx="2">
                  <c:v>3.9</c:v>
                </c:pt>
                <c:pt idx="3">
                  <c:v>3.5</c:v>
                </c:pt>
                <c:pt idx="4">
                  <c:v>3</c:v>
                </c:pt>
                <c:pt idx="5">
                  <c:v>3.4</c:v>
                </c:pt>
                <c:pt idx="6">
                  <c:v>2.5</c:v>
                </c:pt>
                <c:pt idx="7">
                  <c:v>2.7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0-4769-95C4-10360D1659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1031567"/>
        <c:axId val="541032047"/>
      </c:barChart>
      <c:catAx>
        <c:axId val="54103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32047"/>
        <c:crosses val="autoZero"/>
        <c:auto val="1"/>
        <c:lblAlgn val="ctr"/>
        <c:lblOffset val="100"/>
        <c:noMultiLvlLbl val="0"/>
      </c:catAx>
      <c:valAx>
        <c:axId val="5410320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3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Performance.xlsx]Department Chair's 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Instructor workload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Chair''s Dashboard'!$J$3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'Department Chair''s Dashboard'!$I$4:$I$24</c:f>
              <c:multiLvlStrCache>
                <c:ptCount val="10"/>
                <c:lvl>
                  <c:pt idx="0">
                    <c:v>Patel</c:v>
                  </c:pt>
                  <c:pt idx="1">
                    <c:v>Verma</c:v>
                  </c:pt>
                  <c:pt idx="2">
                    <c:v>Desai</c:v>
                  </c:pt>
                  <c:pt idx="3">
                    <c:v>Joshi</c:v>
                  </c:pt>
                  <c:pt idx="4">
                    <c:v>Iyer</c:v>
                  </c:pt>
                  <c:pt idx="5">
                    <c:v>Sharma</c:v>
                  </c:pt>
                  <c:pt idx="6">
                    <c:v>Rao</c:v>
                  </c:pt>
                  <c:pt idx="7">
                    <c:v>Kumar</c:v>
                  </c:pt>
                  <c:pt idx="8">
                    <c:v>Menon</c:v>
                  </c:pt>
                  <c:pt idx="9">
                    <c:v>Shah</c:v>
                  </c:pt>
                </c:lvl>
                <c:lvl>
                  <c:pt idx="0">
                    <c:v>Amit</c:v>
                  </c:pt>
                  <c:pt idx="1">
                    <c:v>Anjali</c:v>
                  </c:pt>
                  <c:pt idx="2">
                    <c:v>Deepak</c:v>
                  </c:pt>
                  <c:pt idx="3">
                    <c:v>Kiran</c:v>
                  </c:pt>
                  <c:pt idx="4">
                    <c:v>Meera</c:v>
                  </c:pt>
                  <c:pt idx="5">
                    <c:v>Neha</c:v>
                  </c:pt>
                  <c:pt idx="6">
                    <c:v>Priya</c:v>
                  </c:pt>
                  <c:pt idx="7">
                    <c:v>Rajesh</c:v>
                  </c:pt>
                  <c:pt idx="8">
                    <c:v>Suresh</c:v>
                  </c:pt>
                  <c:pt idx="9">
                    <c:v>Vikas</c:v>
                  </c:pt>
                </c:lvl>
              </c:multiLvlStrCache>
            </c:multiLvlStrRef>
          </c:cat>
          <c:val>
            <c:numRef>
              <c:f>'Department Chair''s Dashboard'!$J$4:$J$24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2-4084-8B6A-9513739069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1063727"/>
        <c:axId val="541057487"/>
      </c:barChart>
      <c:catAx>
        <c:axId val="54106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57487"/>
        <c:crosses val="autoZero"/>
        <c:auto val="1"/>
        <c:lblAlgn val="ctr"/>
        <c:lblOffset val="100"/>
        <c:noMultiLvlLbl val="0"/>
      </c:catAx>
      <c:valAx>
        <c:axId val="541057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6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Performance.xlsx]Registrar's Operational Dashboa!PivotTable9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Student credit hour generation by department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'Registrar''s Operational Dashboa'!$B$9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'Registrar''s Operational Dashboa'!$A$10:$A$19</c:f>
              <c:strCache>
                <c:ptCount val="9"/>
                <c:pt idx="0">
                  <c:v>Accounts</c:v>
                </c:pt>
                <c:pt idx="1">
                  <c:v>Anatomy</c:v>
                </c:pt>
                <c:pt idx="2">
                  <c:v>Chemistry</c:v>
                </c:pt>
                <c:pt idx="3">
                  <c:v>Computer Engineering</c:v>
                </c:pt>
                <c:pt idx="4">
                  <c:v>English</c:v>
                </c:pt>
                <c:pt idx="5">
                  <c:v>Finance</c:v>
                </c:pt>
                <c:pt idx="6">
                  <c:v>History</c:v>
                </c:pt>
                <c:pt idx="7">
                  <c:v>Mechanical Engineering</c:v>
                </c:pt>
                <c:pt idx="8">
                  <c:v>Physics</c:v>
                </c:pt>
              </c:strCache>
            </c:strRef>
          </c:cat>
          <c:val>
            <c:numRef>
              <c:f>'Registrar''s Operational Dashboa'!$B$10:$B$19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0-484A-B9F8-C0A97C1DA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0998863"/>
        <c:axId val="731012783"/>
      </c:barChart>
      <c:catAx>
        <c:axId val="73099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12783"/>
        <c:crosses val="autoZero"/>
        <c:auto val="1"/>
        <c:lblAlgn val="ctr"/>
        <c:lblOffset val="100"/>
        <c:noMultiLvlLbl val="0"/>
      </c:catAx>
      <c:valAx>
        <c:axId val="7310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9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Performance.xlsx]Registrar's Operational Dashboa!PivotTable10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Time-to-degree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'Registrar''s Operational Dashboa'!$F$8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'Registrar''s Operational Dashboa'!$E$9:$E$19</c:f>
              <c:strCache>
                <c:ptCount val="10"/>
                <c:pt idx="0">
                  <c:v>Accounts</c:v>
                </c:pt>
                <c:pt idx="1">
                  <c:v>Anatomy</c:v>
                </c:pt>
                <c:pt idx="2">
                  <c:v>Chemistry</c:v>
                </c:pt>
                <c:pt idx="3">
                  <c:v>Computer Engineering</c:v>
                </c:pt>
                <c:pt idx="4">
                  <c:v>English</c:v>
                </c:pt>
                <c:pt idx="5">
                  <c:v>Finance</c:v>
                </c:pt>
                <c:pt idx="6">
                  <c:v>History</c:v>
                </c:pt>
                <c:pt idx="7">
                  <c:v>Mechanical Engineering</c:v>
                </c:pt>
                <c:pt idx="8">
                  <c:v>Pharmacology</c:v>
                </c:pt>
                <c:pt idx="9">
                  <c:v>Physics</c:v>
                </c:pt>
              </c:strCache>
            </c:strRef>
          </c:cat>
          <c:val>
            <c:numRef>
              <c:f>'Registrar''s Operational Dashboa'!$F$9:$F$19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9-4D1F-806F-4C27FAE87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43254623"/>
        <c:axId val="343255583"/>
      </c:barChart>
      <c:catAx>
        <c:axId val="34325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55583"/>
        <c:crosses val="autoZero"/>
        <c:auto val="1"/>
        <c:lblAlgn val="ctr"/>
        <c:lblOffset val="100"/>
        <c:noMultiLvlLbl val="0"/>
      </c:catAx>
      <c:valAx>
        <c:axId val="34325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5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Performance.xlsx]Registrar's Operational Dashboa!PivotTable11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Trends in major declarations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33333333333333E-2"/>
              <c:y val="-5.09259259259259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444444444444446E-2"/>
              <c:y val="-6.4814814814814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4444444444444446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'Registrar''s Operational Dashboa'!$K$15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'Registrar''s Operational Dashboa'!$J$16:$J$19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'Registrar''s Operational Dashboa'!$K$16:$K$19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74-417A-B37A-416C2E6B4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785055"/>
        <c:axId val="758787455"/>
      </c:lineChart>
      <c:catAx>
        <c:axId val="7587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87455"/>
        <c:crosses val="autoZero"/>
        <c:auto val="1"/>
        <c:lblAlgn val="ctr"/>
        <c:lblOffset val="100"/>
        <c:noMultiLvlLbl val="0"/>
      </c:catAx>
      <c:valAx>
        <c:axId val="7587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78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[Prestig University Performance.xlsx]Registrar's Operational Dashboa!PivotTable12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Enrollment capacity vs. utilization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'Registrar''s Operational Dashboa'!$N$17</c:f>
              <c:strCache>
                <c:ptCount val="1"/>
                <c:pt idx="0">
                  <c:v>Enrollment Capacity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AA-422C-BB93-B9C78A2184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'Registrar''s Operational Dashboa'!$N$18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'Registrar''s Operational Dashboa'!$N$18</c:f>
              <c:numCache>
                <c:formatCode>0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A-47E0-86EA-B39715C03C40}"/>
            </c:ext>
          </c:extLst>
        </c:ser>
        <c:ser>
          <c:idx val="1"/>
          <c:order val="1"/>
          <c:tx>
            <c:strRef>
              <c:f>'Registrar''s Operational Dashboa'!$O$17</c:f>
              <c:strCache>
                <c:ptCount val="1"/>
                <c:pt idx="0">
                  <c:v>Enrollment Utilization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AA-422C-BB93-B9C78A218470}"/>
              </c:ext>
            </c:extLst>
          </c:dPt>
          <c:cat>
            <c:strRef>
              <c:f>'Registrar''s Operational Dashboa'!$N$18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'Registrar''s Operational Dashboa'!$O$18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A-47E0-86EA-B39715C03C40}"/>
            </c:ext>
          </c:extLst>
        </c:ser>
        <c:ser>
          <c:idx val="2"/>
          <c:order val="2"/>
          <c:tx>
            <c:strRef>
              <c:f>'Registrar''s Operational Dashboa'!$P$17</c:f>
              <c:strCache>
                <c:ptCount val="1"/>
                <c:pt idx="0">
                  <c:v>Utilization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AA-422C-BB93-B9C78A218470}"/>
              </c:ext>
            </c:extLst>
          </c:dPt>
          <c:cat>
            <c:strRef>
              <c:f>'Registrar''s Operational Dashboa'!$N$18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'Registrar''s Operational Dashboa'!$P$18</c:f>
              <c:numCache>
                <c:formatCode>0.0%;\-0.0%;0.0%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8A-47E0-86EA-B39715C0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16</xdr:row>
      <xdr:rowOff>64770</xdr:rowOff>
    </xdr:from>
    <xdr:to>
      <xdr:col>3</xdr:col>
      <xdr:colOff>7620</xdr:colOff>
      <xdr:row>29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5D779-F50D-5604-0D09-685AFB59C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175260</xdr:colOff>
      <xdr:row>16</xdr:row>
      <xdr:rowOff>72390</xdr:rowOff>
    </xdr:from>
    <xdr:to>
      <xdr:col>8</xdr:col>
      <xdr:colOff>137160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7BD4A-EDD0-DE55-2E3D-F69503CE4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304800</xdr:colOff>
      <xdr:row>16</xdr:row>
      <xdr:rowOff>64770</xdr:rowOff>
    </xdr:from>
    <xdr:to>
      <xdr:col>12</xdr:col>
      <xdr:colOff>594360</xdr:colOff>
      <xdr:row>29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0D3605-EBFB-FC66-E24C-BF7FABB3E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1242060</xdr:colOff>
      <xdr:row>2</xdr:row>
      <xdr:rowOff>15240</xdr:rowOff>
    </xdr:from>
    <xdr:to>
      <xdr:col>7</xdr:col>
      <xdr:colOff>487680</xdr:colOff>
      <xdr:row>6</xdr:row>
      <xdr:rowOff>68580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4AAF0B-81E8-0B40-4887-2F1D6161D3E5}"/>
            </a:ext>
          </a:extLst>
        </xdr:cNvPr>
        <xdr:cNvSpPr txBox="1"/>
      </xdr:nvSpPr>
      <xdr:spPr>
        <a:xfrm>
          <a:off x="3436620" y="381000"/>
          <a:ext cx="4549140" cy="78486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Provost’s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20</xdr:row>
      <xdr:rowOff>8466</xdr:rowOff>
    </xdr:from>
    <xdr:to>
      <xdr:col>7</xdr:col>
      <xdr:colOff>1134533</xdr:colOff>
      <xdr:row>34</xdr:row>
      <xdr:rowOff>109219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F3DCB-647F-23BE-2132-EBC5AAA7A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358140</xdr:colOff>
      <xdr:row>1</xdr:row>
      <xdr:rowOff>45720</xdr:rowOff>
    </xdr:from>
    <xdr:to>
      <xdr:col>19</xdr:col>
      <xdr:colOff>342900</xdr:colOff>
      <xdr:row>27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5754C-B495-3BBC-7FA7-1DC1E82A5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1261533</xdr:colOff>
      <xdr:row>1</xdr:row>
      <xdr:rowOff>8466</xdr:rowOff>
    </xdr:from>
    <xdr:to>
      <xdr:col>7</xdr:col>
      <xdr:colOff>16933</xdr:colOff>
      <xdr:row>5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647A92-5C24-1818-2977-082550E1AF09}"/>
            </a:ext>
          </a:extLst>
        </xdr:cNvPr>
        <xdr:cNvSpPr txBox="1"/>
      </xdr:nvSpPr>
      <xdr:spPr>
        <a:xfrm>
          <a:off x="1261533" y="194733"/>
          <a:ext cx="5435600" cy="7620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Department Chair's 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144780</xdr:rowOff>
    </xdr:from>
    <xdr:to>
      <xdr:col>3</xdr:col>
      <xdr:colOff>594360</xdr:colOff>
      <xdr:row>36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71493-85E6-BD69-4599-A6D091218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89535</xdr:colOff>
      <xdr:row>21</xdr:row>
      <xdr:rowOff>133350</xdr:rowOff>
    </xdr:from>
    <xdr:to>
      <xdr:col>7</xdr:col>
      <xdr:colOff>600075</xdr:colOff>
      <xdr:row>36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982B95-8E08-85D6-81C6-33586E4FC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83820</xdr:colOff>
      <xdr:row>21</xdr:row>
      <xdr:rowOff>118110</xdr:rowOff>
    </xdr:from>
    <xdr:to>
      <xdr:col>12</xdr:col>
      <xdr:colOff>198120</xdr:colOff>
      <xdr:row>36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E1BF36-F353-32B0-5E9F-79A7E9E0C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304800</xdr:colOff>
      <xdr:row>21</xdr:row>
      <xdr:rowOff>90488</xdr:rowOff>
    </xdr:from>
    <xdr:to>
      <xdr:col>17</xdr:col>
      <xdr:colOff>314325</xdr:colOff>
      <xdr:row>36</xdr:row>
      <xdr:rowOff>119063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F859A3-DC8F-FAA8-6397-3143061C2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</xdr:colOff>
      <xdr:row>1</xdr:row>
      <xdr:rowOff>19050</xdr:rowOff>
    </xdr:from>
    <xdr:to>
      <xdr:col>9</xdr:col>
      <xdr:colOff>628650</xdr:colOff>
      <xdr:row>4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32862B-A6EF-FCB0-08CF-95DAE22AFF73}"/>
            </a:ext>
          </a:extLst>
        </xdr:cNvPr>
        <xdr:cNvSpPr txBox="1"/>
      </xdr:nvSpPr>
      <xdr:spPr>
        <a:xfrm>
          <a:off x="3590925" y="200025"/>
          <a:ext cx="6619875" cy="6858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0" i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Registrar's Operational Dashboard</a:t>
          </a:r>
          <a:endParaRPr lang="en-IN" sz="36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73263892" backgroundQuery="1" createdVersion="8" refreshedVersion="8" minRefreshableVersion="3" recordCount="0" supportSubquery="1" supportAdvancedDrill="1" xr:uid="{A07126F8-A37F-44A2-B670-59DC529A2D7A}">
  <cacheSource type="external" connectionId="9"/>
  <cacheFields count="2">
    <cacheField name="[_7_Date].[academic_year].[academic_year]" caption="academic_year" numFmtId="0" hierarchy="37" level="1">
      <sharedItems count="3">
        <s v="2021-2022"/>
        <s v="2022-2023"/>
        <s v="2023-2024"/>
      </sharedItems>
    </cacheField>
    <cacheField name="[Measures].[Count of enrollment_id]" caption="Count of enrollment_id" numFmtId="0" hierarchy="72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2" memberValueDatatype="130" unbalanced="0">
      <fieldsUsage count="2">
        <fieldUsage x="-1"/>
        <fieldUsage x="0"/>
      </fieldsUsage>
    </cacheHierarchy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74421294" backgroundQuery="1" createdVersion="8" refreshedVersion="8" minRefreshableVersion="3" recordCount="0" supportSubquery="1" supportAdvancedDrill="1" xr:uid="{B9BB2A61-8105-4B89-ACE9-3CCE98E34A07}">
  <cacheSource type="external" connectionId="9"/>
  <cacheFields count="2">
    <cacheField name="[_6_Student].[gender].[gender]" caption="gender" numFmtId="0" hierarchy="27" level="1">
      <sharedItems count="2">
        <s v="Female"/>
        <s v="Male"/>
      </sharedItems>
    </cacheField>
    <cacheField name="[Measures].[Count of student_id]" caption="Count of student_id" numFmtId="0" hierarchy="74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2" memberValueDatatype="130" unbalanced="0">
      <fieldsUsage count="2">
        <fieldUsage x="-1"/>
        <fieldUsage x="0"/>
      </fieldsUsage>
    </cacheHierarchy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5565775463" backgroundQuery="1" createdVersion="8" refreshedVersion="8" minRefreshableVersion="3" recordCount="0" supportSubquery="1" supportAdvancedDrill="1" xr:uid="{D27C10DB-8BEF-4D72-A13A-4764DD6DBDB5}">
  <cacheSource type="external" connectionId="9"/>
  <cacheFields count="3">
    <cacheField name="[_2_Faculty].[faculty_name].[faculty_name]" caption="faculty_name" numFmtId="0" hierarchy="5" level="1">
      <sharedItems count="5">
        <s v="Faculty of Arts"/>
        <s v="Faculty of Business"/>
        <s v="Faculty of Engineering"/>
        <s v="Faculty of Medical"/>
        <s v="Faculty of Science"/>
      </sharedItems>
    </cacheField>
    <cacheField name="[Measures].[Average of final_grade]" caption="Average of final_grade" numFmtId="0" hierarchy="73" level="32767"/>
    <cacheField name="[_1_Campus].[campus_name].[campus_name]" caption="campus_name" numFmtId="0" hierarchy="1" level="1">
      <sharedItems count="3">
        <s v="Main Campus"/>
        <s v="North Campus"/>
        <s v="South Campus"/>
      </sharedItems>
    </cacheField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2" memberValueDatatype="130" unbalanced="0">
      <fieldsUsage count="2">
        <fieldUsage x="-1"/>
        <fieldUsage x="2"/>
      </fieldsUsage>
    </cacheHierarchy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2" memberValueDatatype="130" unbalanced="0">
      <fieldsUsage count="2">
        <fieldUsage x="-1"/>
        <fieldUsage x="0"/>
      </fieldsUsage>
    </cacheHierarchy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71296299" backgroundQuery="1" createdVersion="8" refreshedVersion="8" minRefreshableVersion="3" recordCount="0" supportSubquery="1" supportAdvancedDrill="1" xr:uid="{DE706B19-1269-464E-9181-F9FD107DEB05}">
  <cacheSource type="external" connectionId="9"/>
  <cacheFields count="2">
    <cacheField name="[_3_Department].[department_name].[department_name]" caption="department_name" numFmtId="0" hierarchy="8" level="1">
      <sharedItems count="9">
        <s v="Accounts"/>
        <s v="Anatomy"/>
        <s v="Chemistry"/>
        <s v="Computer Engineering"/>
        <s v="English"/>
        <s v="Finance"/>
        <s v="History"/>
        <s v="Mechanical Engineering"/>
        <s v="Physics"/>
      </sharedItems>
    </cacheField>
    <cacheField name="[Measures].[Average of final_grade]" caption="Average of final_grade" numFmtId="0" hierarchy="73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2" memberValueDatatype="130" unbalanced="0">
      <fieldsUsage count="2">
        <fieldUsage x="-1"/>
        <fieldUsage x="0"/>
      </fieldsUsage>
    </cacheHierarchy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70601852" backgroundQuery="1" createdVersion="8" refreshedVersion="8" minRefreshableVersion="3" recordCount="0" supportSubquery="1" supportAdvancedDrill="1" xr:uid="{F00B3398-31A3-4D58-AB93-9A502278594E}">
  <cacheSource type="external" connectionId="9"/>
  <cacheFields count="3">
    <cacheField name="[_4_Course].[course_name].[course_name]" caption="course_name" numFmtId="0" hierarchy="13" level="1">
      <sharedItems count="10">
        <s v="Classical Mechanics"/>
        <s v="Corporate Finance"/>
        <s v="Data Structures"/>
        <s v="English Literature"/>
        <s v="Financial Accounting"/>
        <s v="Human Anatomy"/>
        <s v="Intro to Programming"/>
        <s v="Organic Chemistry"/>
        <s v="Thermodynamics"/>
        <s v="World History"/>
      </sharedItems>
    </cacheField>
    <cacheField name="[_7_Date].[academic_semester].[academic_semester]" caption="academic_semester" numFmtId="0" hierarchy="38" level="1">
      <sharedItems count="2">
        <s v="Fall"/>
        <s v="Spring"/>
      </sharedItems>
    </cacheField>
    <cacheField name="[Measures].[DFW Rate]" caption="DFW Rate" numFmtId="0" hierarchy="55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2" memberValueDatatype="130" unbalanced="0">
      <fieldsUsage count="2">
        <fieldUsage x="-1"/>
        <fieldUsage x="0"/>
      </fieldsUsage>
    </cacheHierarchy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2" memberValueDatatype="130" unbalanced="0">
      <fieldsUsage count="2">
        <fieldUsage x="-1"/>
        <fieldUsage x="1"/>
      </fieldsUsage>
    </cacheHierarchy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 oneField="1">
      <fieldsUsage count="1">
        <fieldUsage x="2"/>
      </fieldsUsage>
    </cacheHierarchy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72569446" backgroundQuery="1" createdVersion="8" refreshedVersion="8" minRefreshableVersion="3" recordCount="0" supportSubquery="1" supportAdvancedDrill="1" xr:uid="{64E23830-B539-4058-9C6C-69CA8D717E16}">
  <cacheSource type="external" connectionId="9"/>
  <cacheFields count="2">
    <cacheField name="[_4_Course].[course_name].[course_name]" caption="course_name" numFmtId="0" hierarchy="13" level="1">
      <sharedItems count="10">
        <s v="Classical Mechanics"/>
        <s v="Corporate Finance"/>
        <s v="Data Structures"/>
        <s v="English Literature"/>
        <s v="Financial Accounting"/>
        <s v="Human Anatomy"/>
        <s v="Intro to Programming"/>
        <s v="Organic Chemistry"/>
        <s v="Thermodynamics"/>
        <s v="World History"/>
      </sharedItems>
    </cacheField>
    <cacheField name="[Measures].[DFW Rate]" caption="DFW Rate" numFmtId="0" hierarchy="55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2" memberValueDatatype="130" unbalanced="0">
      <fieldsUsage count="2">
        <fieldUsage x="-1"/>
        <fieldUsage x="0"/>
      </fieldsUsage>
    </cacheHierarchy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 oneField="1">
      <fieldsUsage count="1">
        <fieldUsage x="1"/>
      </fieldsUsage>
    </cacheHierarchy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71990738" backgroundQuery="1" createdVersion="8" refreshedVersion="8" minRefreshableVersion="3" recordCount="0" supportSubquery="1" supportAdvancedDrill="1" xr:uid="{74CD3B23-033B-4819-B1ED-FAA959964CEF}">
  <cacheSource type="external" connectionId="9"/>
  <cacheFields count="3">
    <cacheField name="[_5_Instructor].[first_name].[first_name]" caption="first_name" numFmtId="0" hierarchy="18" level="1">
      <sharedItems count="10">
        <s v="Amit"/>
        <s v="Anjali"/>
        <s v="Deepak"/>
        <s v="Kiran"/>
        <s v="Meera"/>
        <s v="Neha"/>
        <s v="Priya"/>
        <s v="Rajesh"/>
        <s v="Suresh"/>
        <s v="Vikas"/>
      </sharedItems>
    </cacheField>
    <cacheField name="[_5_Instructor].[last_name].[last_name]" caption="last_name" numFmtId="0" hierarchy="19" level="1">
      <sharedItems count="10">
        <s v="Patel"/>
        <s v="Verma"/>
        <s v="Desai"/>
        <s v="Joshi"/>
        <s v="Iyer"/>
        <s v="Sharma"/>
        <s v="Rao"/>
        <s v="Kumar"/>
        <s v="Menon"/>
        <s v="Shah"/>
      </sharedItems>
    </cacheField>
    <cacheField name="[Measures].[Count of enrollment_id]" caption="Count of enrollment_id" numFmtId="0" hierarchy="72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2" memberValueDatatype="130" unbalanced="0">
      <fieldsUsage count="2">
        <fieldUsage x="-1"/>
        <fieldUsage x="0"/>
      </fieldsUsage>
    </cacheHierarchy>
    <cacheHierarchy uniqueName="[_5_Instructor].[last_name]" caption="last_name" attribute="1" defaultMemberUniqueName="[_5_Instructor].[last_name].[All]" allUniqueName="[_5_Instructor].[last_name].[All]" dimensionUniqueName="[_5_Instructor]" displayFolder="" count="2" memberValueDatatype="130" unbalanced="0">
      <fieldsUsage count="2">
        <fieldUsage x="-1"/>
        <fieldUsage x="1"/>
      </fieldsUsage>
    </cacheHierarchy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733564812" backgroundQuery="1" createdVersion="8" refreshedVersion="8" minRefreshableVersion="3" recordCount="0" supportSubquery="1" supportAdvancedDrill="1" xr:uid="{9D49CBCC-0170-424E-8E01-D878FBEF0B41}">
  <cacheSource type="external" connectionId="9"/>
  <cacheFields count="3">
    <cacheField name="[Measures].[Enrollment Capacity]" caption="Enrollment Capacity" numFmtId="0" hierarchy="57" level="32767"/>
    <cacheField name="[Measures].[Enrollment Utilization]" caption="Enrollment Utilization" numFmtId="0" hierarchy="56" level="32767"/>
    <cacheField name="[Measures].[Utilization %]" caption="Utilization %" numFmtId="0" hierarchy="58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 oneField="1">
      <fieldsUsage count="1">
        <fieldUsage x="1"/>
      </fieldsUsage>
    </cacheHierarchy>
    <cacheHierarchy uniqueName="[Measures].[Enrollment Capacity]" caption="Enrollment Capacity" measure="1" displayFolder="" measureGroup="_8_Fact_Course_Enrollment" count="0" oneField="1">
      <fieldsUsage count="1">
        <fieldUsage x="0"/>
      </fieldsUsage>
    </cacheHierarchy>
    <cacheHierarchy uniqueName="[Measures].[Utilization %]" caption="Utilization %" measure="1" displayFolder="" measureGroup="_8_Fact_Course_Enrollment" count="0" oneField="1">
      <fieldsUsage count="1">
        <fieldUsage x="2"/>
      </fieldsUsage>
    </cacheHierarchy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69328705" backgroundQuery="1" createdVersion="8" refreshedVersion="8" minRefreshableVersion="3" recordCount="0" supportSubquery="1" supportAdvancedDrill="1" xr:uid="{3296D97A-B775-4099-AB73-2DC704B9FFD6}">
  <cacheSource type="external" connectionId="9"/>
  <cacheFields count="2">
    <cacheField name="[_3_Department].[department_name].[department_name]" caption="department_name" numFmtId="0" hierarchy="8" level="1">
      <sharedItems count="10">
        <s v="Accounts"/>
        <s v="Anatomy"/>
        <s v="Chemistry"/>
        <s v="Computer Engineering"/>
        <s v="English"/>
        <s v="Finance"/>
        <s v="History"/>
        <s v="Mechanical Engineering"/>
        <s v="Pharmacology"/>
        <s v="Physics"/>
      </sharedItems>
    </cacheField>
    <cacheField name="[Measures].[Average of Time to Degree (Years)]" caption="Average of Time to Degree (Years)" numFmtId="0" hierarchy="77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2" memberValueDatatype="130" unbalanced="0">
      <fieldsUsage count="2">
        <fieldUsage x="-1"/>
        <fieldUsage x="0"/>
      </fieldsUsage>
    </cacheHierarchy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21468634259" backgroundQuery="1" createdVersion="8" refreshedVersion="8" minRefreshableVersion="3" recordCount="0" supportSubquery="1" supportAdvancedDrill="1" xr:uid="{443A555B-5866-4B07-A8A7-D1F835F070A6}">
  <cacheSource type="external" connectionId="9"/>
  <cacheFields count="2">
    <cacheField name="[_3_Department].[department_name].[department_name]" caption="department_name" numFmtId="0" hierarchy="8" level="1">
      <sharedItems count="9">
        <s v="Accounts"/>
        <s v="Anatomy"/>
        <s v="Chemistry"/>
        <s v="Computer Engineering"/>
        <s v="English"/>
        <s v="Finance"/>
        <s v="History"/>
        <s v="Mechanical Engineering"/>
        <s v="Physics"/>
      </sharedItems>
    </cacheField>
    <cacheField name="[Measures].[Sum of credits_earned]" caption="Sum of credits_earned" numFmtId="0" hierarchy="75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2" memberValueDatatype="130" unbalanced="0">
      <fieldsUsage count="2">
        <fieldUsage x="-1"/>
        <fieldUsage x="0"/>
      </fieldsUsage>
    </cacheHierarchy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0" memberValueDatatype="130" unbalanced="0"/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eeganesh" refreshedDate="45919.072004050926" backgroundQuery="1" createdVersion="8" refreshedVersion="8" minRefreshableVersion="3" recordCount="0" supportSubquery="1" supportAdvancedDrill="1" xr:uid="{3DC11CF0-FB51-43E9-8143-7011A6796567}">
  <cacheSource type="external" connectionId="9"/>
  <cacheFields count="2">
    <cacheField name="[_7_Date].[academic_year].[academic_year]" caption="academic_year" numFmtId="0" hierarchy="37" level="1">
      <sharedItems count="3">
        <s v="2021-2022"/>
        <s v="2022-2023"/>
        <s v="2023-2024"/>
      </sharedItems>
    </cacheField>
    <cacheField name="[Measures].[Count of enrollment_id]" caption="Count of enrollment_id" numFmtId="0" hierarchy="72" level="32767"/>
  </cacheFields>
  <cacheHierarchies count="81">
    <cacheHierarchy uniqueName="[_1_Campus].[campus_id]" caption="campus_id" attribute="1" defaultMemberUniqueName="[_1_Campus].[campus_id].[All]" allUniqueName="[_1_Campus].[campus_id].[All]" dimensionUniqueName="[_1_Campus]" displayFolder="" count="0" memberValueDatatype="20" unbalanced="0"/>
    <cacheHierarchy uniqueName="[_1_Campus].[campus_name]" caption="campus_name" attribute="1" defaultMemberUniqueName="[_1_Campus].[campus_name].[All]" allUniqueName="[_1_Campus].[campus_name].[All]" dimensionUniqueName="[_1_Campus]" displayFolder="" count="0" memberValueDatatype="130" unbalanced="0"/>
    <cacheHierarchy uniqueName="[_1_Campus].[location]" caption="location" attribute="1" defaultMemberUniqueName="[_1_Campus].[location].[All]" allUniqueName="[_1_Campus].[location].[All]" dimensionUniqueName="[_1_Campus]" displayFolder="" count="0" memberValueDatatype="130" unbalanced="0"/>
    <cacheHierarchy uniqueName="[_1_Campus].[chancellor]" caption="chancellor" attribute="1" defaultMemberUniqueName="[_1_Campus].[chancellor].[All]" allUniqueName="[_1_Campus].[chancellor].[All]" dimensionUniqueName="[_1_Campus]" displayFolder="" count="0" memberValueDatatype="130" unbalanced="0"/>
    <cacheHierarchy uniqueName="[_2_Faculty].[faculty_id]" caption="faculty_id" attribute="1" defaultMemberUniqueName="[_2_Faculty].[faculty_id].[All]" allUniqueName="[_2_Faculty].[faculty_id].[All]" dimensionUniqueName="[_2_Faculty]" displayFolder="" count="0" memberValueDatatype="20" unbalanced="0"/>
    <cacheHierarchy uniqueName="[_2_Faculty].[faculty_name]" caption="faculty_name" attribute="1" defaultMemberUniqueName="[_2_Faculty].[faculty_name].[All]" allUniqueName="[_2_Faculty].[faculty_name].[All]" dimensionUniqueName="[_2_Faculty]" displayFolder="" count="0" memberValueDatatype="130" unbalanced="0"/>
    <cacheHierarchy uniqueName="[_2_Faculty].[dean]" caption="dean" attribute="1" defaultMemberUniqueName="[_2_Faculty].[dean].[All]" allUniqueName="[_2_Faculty].[dean].[All]" dimensionUniqueName="[_2_Faculty]" displayFolder="" count="0" memberValueDatatype="130" unbalanced="0"/>
    <cacheHierarchy uniqueName="[_3_Department].[department_id]" caption="department_id" attribute="1" defaultMemberUniqueName="[_3_Department].[department_id].[All]" allUniqueName="[_3_Department].[department_id].[All]" dimensionUniqueName="[_3_Department]" displayFolder="" count="0" memberValueDatatype="20" unbalanced="0"/>
    <cacheHierarchy uniqueName="[_3_Department].[department_name]" caption="department_name" attribute="1" defaultMemberUniqueName="[_3_Department].[department_name].[All]" allUniqueName="[_3_Department].[department_name].[All]" dimensionUniqueName="[_3_Department]" displayFolder="" count="0" memberValueDatatype="130" unbalanced="0"/>
    <cacheHierarchy uniqueName="[_3_Department].[department_code]" caption="department_code" attribute="1" defaultMemberUniqueName="[_3_Department].[department_code].[All]" allUniqueName="[_3_Department].[department_code].[All]" dimensionUniqueName="[_3_Department]" displayFolder="" count="0" memberValueDatatype="130" unbalanced="0"/>
    <cacheHierarchy uniqueName="[_3_Department].[faculty_id]" caption="faculty_id" attribute="1" defaultMemberUniqueName="[_3_Department].[faculty_id].[All]" allUniqueName="[_3_Department].[faculty_id].[All]" dimensionUniqueName="[_3_Department]" displayFolder="" count="0" memberValueDatatype="20" unbalanced="0"/>
    <cacheHierarchy uniqueName="[_4_Course].[course_id]" caption="course_id" attribute="1" defaultMemberUniqueName="[_4_Course].[course_id].[All]" allUniqueName="[_4_Course].[course_id].[All]" dimensionUniqueName="[_4_Course]" displayFolder="" count="0" memberValueDatatype="20" unbalanced="0"/>
    <cacheHierarchy uniqueName="[_4_Course].[course_code]" caption="course_code" attribute="1" defaultMemberUniqueName="[_4_Course].[course_code].[All]" allUniqueName="[_4_Course].[course_code].[All]" dimensionUniqueName="[_4_Course]" displayFolder="" count="0" memberValueDatatype="130" unbalanced="0"/>
    <cacheHierarchy uniqueName="[_4_Course].[course_name]" caption="course_name" attribute="1" defaultMemberUniqueName="[_4_Course].[course_name].[All]" allUniqueName="[_4_Course].[course_name].[All]" dimensionUniqueName="[_4_Course]" displayFolder="" count="0" memberValueDatatype="130" unbalanced="0"/>
    <cacheHierarchy uniqueName="[_4_Course].[course_description]" caption="course_description" attribute="1" defaultMemberUniqueName="[_4_Course].[course_description].[All]" allUniqueName="[_4_Course].[course_description].[All]" dimensionUniqueName="[_4_Course]" displayFolder="" count="0" memberValueDatatype="130" unbalanced="0"/>
    <cacheHierarchy uniqueName="[_4_Course].[credits]" caption="credits" attribute="1" defaultMemberUniqueName="[_4_Course].[credits].[All]" allUniqueName="[_4_Course].[credits].[All]" dimensionUniqueName="[_4_Course]" displayFolder="" count="0" memberValueDatatype="20" unbalanced="0"/>
    <cacheHierarchy uniqueName="[_4_Course].[department_id]" caption="department_id" attribute="1" defaultMemberUniqueName="[_4_Course].[department_id].[All]" allUniqueName="[_4_Course].[department_id].[All]" dimensionUniqueName="[_4_Course]" displayFolder="" count="0" memberValueDatatype="20" unbalanced="0"/>
    <cacheHierarchy uniqueName="[_5_Instructor].[instructor_id]" caption="instructor_id" attribute="1" defaultMemberUniqueName="[_5_Instructor].[instructor_id].[All]" allUniqueName="[_5_Instructor].[instructor_id].[All]" dimensionUniqueName="[_5_Instructor]" displayFolder="" count="0" memberValueDatatype="20" unbalanced="0"/>
    <cacheHierarchy uniqueName="[_5_Instructor].[first_name]" caption="first_name" attribute="1" defaultMemberUniqueName="[_5_Instructor].[first_name].[All]" allUniqueName="[_5_Instructor].[first_name].[All]" dimensionUniqueName="[_5_Instructor]" displayFolder="" count="0" memberValueDatatype="130" unbalanced="0"/>
    <cacheHierarchy uniqueName="[_5_Instructor].[last_name]" caption="last_name" attribute="1" defaultMemberUniqueName="[_5_Instructor].[last_name].[All]" allUniqueName="[_5_Instructor].[last_name].[All]" dimensionUniqueName="[_5_Instructor]" displayFolder="" count="0" memberValueDatatype="130" unbalanced="0"/>
    <cacheHierarchy uniqueName="[_5_Instructor].[title]" caption="title" attribute="1" defaultMemberUniqueName="[_5_Instructor].[title].[All]" allUniqueName="[_5_Instructor].[title].[All]" dimensionUniqueName="[_5_Instructor]" displayFolder="" count="0" memberValueDatatype="130" unbalanced="0"/>
    <cacheHierarchy uniqueName="[_5_Instructor].[department_id]" caption="department_id" attribute="1" defaultMemberUniqueName="[_5_Instructor].[department_id].[All]" allUniqueName="[_5_Instructor].[department_id].[All]" dimensionUniqueName="[_5_Instructor]" displayFolder="" count="0" memberValueDatatype="20" unbalanced="0"/>
    <cacheHierarchy uniqueName="[_5_Instructor].[hire_date]" caption="hire_date" attribute="1" time="1" defaultMemberUniqueName="[_5_Instructor].[hire_date].[All]" allUniqueName="[_5_Instructor].[hire_date].[All]" dimensionUniqueName="[_5_Instructor]" displayFolder="" count="0" memberValueDatatype="7" unbalanced="0"/>
    <cacheHierarchy uniqueName="[_6_Student].[student_id]" caption="student_id" attribute="1" defaultMemberUniqueName="[_6_Student].[student_id].[All]" allUniqueName="[_6_Student].[student_id].[All]" dimensionUniqueName="[_6_Student]" displayFolder="" count="0" memberValueDatatype="20" unbalanced="0"/>
    <cacheHierarchy uniqueName="[_6_Student].[first_name]" caption="first_name" attribute="1" defaultMemberUniqueName="[_6_Student].[first_name].[All]" allUniqueName="[_6_Student].[first_name].[All]" dimensionUniqueName="[_6_Student]" displayFolder="" count="0" memberValueDatatype="130" unbalanced="0"/>
    <cacheHierarchy uniqueName="[_6_Student].[last_name]" caption="last_name" attribute="1" defaultMemberUniqueName="[_6_Student].[last_name].[All]" allUniqueName="[_6_Student].[last_name].[All]" dimensionUniqueName="[_6_Student]" displayFolder="" count="0" memberValueDatatype="130" unbalanced="0"/>
    <cacheHierarchy uniqueName="[_6_Student].[date_of_birth]" caption="date_of_birth" attribute="1" time="1" defaultMemberUniqueName="[_6_Student].[date_of_birth].[All]" allUniqueName="[_6_Student].[date_of_birth].[All]" dimensionUniqueName="[_6_Student]" displayFolder="" count="0" memberValueDatatype="7" unbalanced="0"/>
    <cacheHierarchy uniqueName="[_6_Student].[gender]" caption="gender" attribute="1" defaultMemberUniqueName="[_6_Student].[gender].[All]" allUniqueName="[_6_Student].[gender].[All]" dimensionUniqueName="[_6_Student]" displayFolder="" count="0" memberValueDatatype="130" unbalanced="0"/>
    <cacheHierarchy uniqueName="[_6_Student].[ethnicity]" caption="ethnicity" attribute="1" defaultMemberUniqueName="[_6_Student].[ethnicity].[All]" allUniqueName="[_6_Student].[ethnicity].[All]" dimensionUniqueName="[_6_Student]" displayFolder="" count="0" memberValueDatatype="130" unbalanced="0"/>
    <cacheHierarchy uniqueName="[_6_Student].[enrollment_status]" caption="enrollment_status" attribute="1" defaultMemberUniqueName="[_6_Student].[enrollment_status].[All]" allUniqueName="[_6_Student].[enrollment_status].[All]" dimensionUniqueName="[_6_Student]" displayFolder="" count="0" memberValueDatatype="130" unbalanced="0"/>
    <cacheHierarchy uniqueName="[_6_Student].[major_department_id]" caption="major_department_id" attribute="1" defaultMemberUniqueName="[_6_Student].[major_department_id].[All]" allUniqueName="[_6_Student].[major_department_id].[All]" dimensionUniqueName="[_6_Student]" displayFolder="" count="0" memberValueDatatype="20" unbalanced="0"/>
    <cacheHierarchy uniqueName="[_6_Student].[admission_date]" caption="admission_date" attribute="1" time="1" defaultMemberUniqueName="[_6_Student].[admission_date].[All]" allUniqueName="[_6_Student].[admission_date].[All]" dimensionUniqueName="[_6_Student]" displayFolder="" count="0" memberValueDatatype="7" unbalanced="0"/>
    <cacheHierarchy uniqueName="[_6_Student].[expected_grad_date]" caption="expected_grad_date" attribute="1" time="1" defaultMemberUniqueName="[_6_Student].[expected_grad_date].[All]" allUniqueName="[_6_Student].[expected_grad_date].[All]" dimensionUniqueName="[_6_Student]" displayFolder="" count="0" memberValueDatatype="7" unbalanced="0"/>
    <cacheHierarchy uniqueName="[_6_Student].[campus_id]" caption="campus_id" attribute="1" defaultMemberUniqueName="[_6_Student].[campus_id].[All]" allUniqueName="[_6_Student].[campus_id].[All]" dimensionUniqueName="[_6_Student]" displayFolder="" count="0" memberValueDatatype="20" unbalanced="0"/>
    <cacheHierarchy uniqueName="[_6_Student].[Time to Degree (Years)]" caption="Time to Degree (Years)" attribute="1" defaultMemberUniqueName="[_6_Student].[Time to Degree (Years)].[All]" allUniqueName="[_6_Student].[Time to Degree (Years)].[All]" dimensionUniqueName="[_6_Student]" displayFolder="" count="0" memberValueDatatype="20" unbalanced="0"/>
    <cacheHierarchy uniqueName="[_7_Date].[date_id]" caption="date_id" attribute="1" defaultMemberUniqueName="[_7_Date].[date_id].[All]" allUniqueName="[_7_Date].[date_id].[All]" dimensionUniqueName="[_7_Date]" displayFolder="" count="0" memberValueDatatype="20" unbalanced="0"/>
    <cacheHierarchy uniqueName="[_7_Date].[full_date]" caption="full_date" attribute="1" time="1" defaultMemberUniqueName="[_7_Date].[full_date].[All]" allUniqueName="[_7_Date].[full_date].[All]" dimensionUniqueName="[_7_Date]" displayFolder="" count="0" memberValueDatatype="7" unbalanced="0"/>
    <cacheHierarchy uniqueName="[_7_Date].[academic_year]" caption="academic_year" attribute="1" defaultMemberUniqueName="[_7_Date].[academic_year].[All]" allUniqueName="[_7_Date].[academic_year].[All]" dimensionUniqueName="[_7_Date]" displayFolder="" count="2" memberValueDatatype="130" unbalanced="0">
      <fieldsUsage count="2">
        <fieldUsage x="-1"/>
        <fieldUsage x="0"/>
      </fieldsUsage>
    </cacheHierarchy>
    <cacheHierarchy uniqueName="[_7_Date].[academic_semester]" caption="academic_semester" attribute="1" defaultMemberUniqueName="[_7_Date].[academic_semester].[All]" allUniqueName="[_7_Date].[academic_semester].[All]" dimensionUniqueName="[_7_Date]" displayFolder="" count="0" memberValueDatatype="130" unbalanced="0"/>
    <cacheHierarchy uniqueName="[_7_Date].[academic_term]" caption="academic_term" attribute="1" defaultMemberUniqueName="[_7_Date].[academic_term].[All]" allUniqueName="[_7_Date].[academic_term].[All]" dimensionUniqueName="[_7_Date]" displayFolder="" count="0" memberValueDatatype="130" unbalanced="0"/>
    <cacheHierarchy uniqueName="[_7_Date].[is_holiday]" caption="is_holiday" attribute="1" defaultMemberUniqueName="[_7_Date].[is_holiday].[All]" allUniqueName="[_7_Date].[is_holiday].[All]" dimensionUniqueName="[_7_Date]" displayFolder="" count="0" memberValueDatatype="20" unbalanced="0"/>
    <cacheHierarchy uniqueName="[_7_Date].[fiscal_period]" caption="fiscal_period" attribute="1" defaultMemberUniqueName="[_7_Date].[fiscal_period].[All]" allUniqueName="[_7_Date].[fiscal_period].[All]" dimensionUniqueName="[_7_Date]" displayFolder="" count="0" memberValueDatatype="130" unbalanced="0"/>
    <cacheHierarchy uniqueName="[_8_Fact_Course_Enrollment].[enrollment_id]" caption="enrollment_id" attribute="1" defaultMemberUniqueName="[_8_Fact_Course_Enrollment].[enrollment_id].[All]" allUniqueName="[_8_Fact_Course_Enrollment].[enrollment_id].[All]" dimensionUniqueName="[_8_Fact_Course_Enrollment]" displayFolder="" count="0" memberValueDatatype="20" unbalanced="0"/>
    <cacheHierarchy uniqueName="[_8_Fact_Course_Enrollment].[student_id]" caption="student_id" attribute="1" defaultMemberUniqueName="[_8_Fact_Course_Enrollment].[student_id].[All]" allUniqueName="[_8_Fact_Course_Enrollment].[student_id].[All]" dimensionUniqueName="[_8_Fact_Course_Enrollment]" displayFolder="" count="0" memberValueDatatype="20" unbalanced="0"/>
    <cacheHierarchy uniqueName="[_8_Fact_Course_Enrollment].[course_id]" caption="course_id" attribute="1" defaultMemberUniqueName="[_8_Fact_Course_Enrollment].[course_id].[All]" allUniqueName="[_8_Fact_Course_Enrollment].[course_id].[All]" dimensionUniqueName="[_8_Fact_Course_Enrollment]" displayFolder="" count="0" memberValueDatatype="20" unbalanced="0"/>
    <cacheHierarchy uniqueName="[_8_Fact_Course_Enrollment].[instructor_id]" caption="instructor_id" attribute="1" defaultMemberUniqueName="[_8_Fact_Course_Enrollment].[instructor_id].[All]" allUniqueName="[_8_Fact_Course_Enrollment].[instructor_id].[All]" dimensionUniqueName="[_8_Fact_Course_Enrollment]" displayFolder="" count="0" memberValueDatatype="20" unbalanced="0"/>
    <cacheHierarchy uniqueName="[_8_Fact_Course_Enrollment].[semester_date_id]" caption="semester_date_id" attribute="1" defaultMemberUniqueName="[_8_Fact_Course_Enrollment].[semester_date_id].[All]" allUniqueName="[_8_Fact_Course_Enrollment].[semester_date_id].[All]" dimensionUniqueName="[_8_Fact_Course_Enrollment]" displayFolder="" count="0" memberValueDatatype="20" unbalanced="0"/>
    <cacheHierarchy uniqueName="[_8_Fact_Course_Enrollment].[campus_id]" caption="campus_id" attribute="1" defaultMemberUniqueName="[_8_Fact_Course_Enrollment].[campus_id].[All]" allUniqueName="[_8_Fact_Course_Enrollment].[campus_id].[All]" dimensionUniqueName="[_8_Fact_Course_Enrollment]" displayFolder="" count="0" memberValueDatatype="20" unbalanced="0"/>
    <cacheHierarchy uniqueName="[_8_Fact_Course_Enrollment].[final_grade]" caption="final_grade" attribute="1" defaultMemberUniqueName="[_8_Fact_Course_Enrollment].[final_grade].[All]" allUniqueName="[_8_Fact_Course_Enrollment].[final_grade].[All]" dimensionUniqueName="[_8_Fact_Course_Enrollment]" displayFolder="" count="0" memberValueDatatype="5" unbalanced="0"/>
    <cacheHierarchy uniqueName="[_8_Fact_Course_Enrollment].[grade_letter]" caption="grade_letter" attribute="1" defaultMemberUniqueName="[_8_Fact_Course_Enrollment].[grade_letter].[All]" allUniqueName="[_8_Fact_Course_Enrollment].[grade_letter].[All]" dimensionUniqueName="[_8_Fact_Course_Enrollment]" displayFolder="" count="0" memberValueDatatype="130" unbalanced="0"/>
    <cacheHierarchy uniqueName="[_8_Fact_Course_Enrollment].[credits_earned]" caption="credits_earned" attribute="1" defaultMemberUniqueName="[_8_Fact_Course_Enrollment].[credits_earned].[All]" allUniqueName="[_8_Fact_Course_Enrollment].[credits_earned].[All]" dimensionUniqueName="[_8_Fact_Course_Enrollment]" displayFolder="" count="0" memberValueDatatype="20" unbalanced="0"/>
    <cacheHierarchy uniqueName="[_8_Fact_Course_Enrollment].[status]" caption="status" attribute="1" defaultMemberUniqueName="[_8_Fact_Course_Enrollment].[status].[All]" allUniqueName="[_8_Fact_Course_Enrollment].[status].[All]" dimensionUniqueName="[_8_Fact_Course_Enrollment]" displayFolder="" count="0" memberValueDatatype="130" unbalanced="0"/>
    <cacheHierarchy uniqueName="[_8_Fact_Course_Enrollment].[DFW_Flag]" caption="DFW_Flag" attribute="1" defaultMemberUniqueName="[_8_Fact_Course_Enrollment].[DFW_Flag].[All]" allUniqueName="[_8_Fact_Course_Enrollment].[DFW_Flag].[All]" dimensionUniqueName="[_8_Fact_Course_Enrollment]" displayFolder="" count="0" memberValueDatatype="20" unbalanced="0"/>
    <cacheHierarchy uniqueName="[Measures].[Total Enrollments]" caption="Total Enrollments" measure="1" displayFolder="" measureGroup="_8_Fact_Course_Enrollment" count="0"/>
    <cacheHierarchy uniqueName="[Measures].[DFW Count]" caption="DFW Count" measure="1" displayFolder="" measureGroup="_8_Fact_Course_Enrollment" count="0"/>
    <cacheHierarchy uniqueName="[Measures].[DFW Rate]" caption="DFW Rate" measure="1" displayFolder="" measureGroup="_8_Fact_Course_Enrollment" count="0"/>
    <cacheHierarchy uniqueName="[Measures].[Enrollment Utilization]" caption="Enrollment Utilization" measure="1" displayFolder="" measureGroup="_8_Fact_Course_Enrollment" count="0"/>
    <cacheHierarchy uniqueName="[Measures].[Enrollment Capacity]" caption="Enrollment Capacity" measure="1" displayFolder="" measureGroup="_8_Fact_Course_Enrollment" count="0"/>
    <cacheHierarchy uniqueName="[Measures].[Utilization %]" caption="Utilization %" measure="1" displayFolder="" measureGroup="_8_Fact_Course_Enrollment" count="0"/>
    <cacheHierarchy uniqueName="[Measures].[__XL_Count _8_Fact_Course_Enrollment]" caption="__XL_Count _8_Fact_Course_Enrollment" measure="1" displayFolder="" measureGroup="_8_Fact_Course_Enrollment" count="0" hidden="1"/>
    <cacheHierarchy uniqueName="[Measures].[__XL_Count _6_Student]" caption="__XL_Count _6_Student" measure="1" displayFolder="" measureGroup="_6_Student" count="0" hidden="1"/>
    <cacheHierarchy uniqueName="[Measures].[__XL_Count _4_Course]" caption="__XL_Count _4_Course" measure="1" displayFolder="" measureGroup="_4_Course" count="0" hidden="1"/>
    <cacheHierarchy uniqueName="[Measures].[__XL_Count _5_Instructor]" caption="__XL_Count _5_Instructor" measure="1" displayFolder="" measureGroup="_5_Instructor" count="0" hidden="1"/>
    <cacheHierarchy uniqueName="[Measures].[__XL_Count _1_Campus]" caption="__XL_Count _1_Campus" measure="1" displayFolder="" measureGroup="_1_Campus" count="0" hidden="1"/>
    <cacheHierarchy uniqueName="[Measures].[__XL_Count _7_Date]" caption="__XL_Count _7_Date" measure="1" displayFolder="" measureGroup="_7_Date" count="0" hidden="1"/>
    <cacheHierarchy uniqueName="[Measures].[__XL_Count _3_Department]" caption="__XL_Count _3_Department" measure="1" displayFolder="" measureGroup="_3_Department" count="0" hidden="1"/>
    <cacheHierarchy uniqueName="[Measures].[__XL_Count _2_Faculty]" caption="__XL_Count _2_Faculty" measure="1" displayFolder="" measureGroup="_2_Faculty" count="0" hidden="1"/>
    <cacheHierarchy uniqueName="[Measures].[__No measures defined]" caption="__No measures defined" measure="1" displayFolder="" count="0" hidden="1"/>
    <cacheHierarchy uniqueName="[Measures].[Count of grade_letter]" caption="Count of grade_letter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enrollment_id]" caption="Sum of enrollment_i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um of final_grade]" caption="Sum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student_id]" caption="Sum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rollment_id]" caption="Count of enrollment_id" measure="1" displayFolder="" measureGroup="_8_Fact_Course_Enroll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Average of final_grade]" caption="Average of final_grade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student_id]" caption="Count of stud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credits_earned]" caption="Sum of credits_earned" measure="1" displayFolder="" measureGroup="_8_Fact_Course_Enrollment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Time to Degree (Years)]" caption="Sum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Time to Degree (Years)]" caption="Average of Time to Degree (Years)" measure="1" displayFolder="" measureGroup="_6_Student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ajor_department_id]" caption="Sum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major_department_id]" caption="Distinct 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major_department_id]" caption="Count of major_department_id" measure="1" displayFolder="" measureGroup="_6_Studen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_1_Campus" uniqueName="[_1_Campus]" caption="_1_Campus"/>
    <dimension name="_2_Faculty" uniqueName="[_2_Faculty]" caption="_2_Faculty"/>
    <dimension name="_3_Department" uniqueName="[_3_Department]" caption="_3_Department"/>
    <dimension name="_4_Course" uniqueName="[_4_Course]" caption="_4_Course"/>
    <dimension name="_5_Instructor" uniqueName="[_5_Instructor]" caption="_5_Instructor"/>
    <dimension name="_6_Student" uniqueName="[_6_Student]" caption="_6_Student"/>
    <dimension name="_7_Date" uniqueName="[_7_Date]" caption="_7_Date"/>
    <dimension name="_8_Fact_Course_Enrollment" uniqueName="[_8_Fact_Course_Enrollment]" caption="_8_Fact_Course_Enrollment"/>
    <dimension measure="1" name="Measures" uniqueName="[Measures]" caption="Measures"/>
  </dimensions>
  <measureGroups count="8">
    <measureGroup name="_1_Campus" caption="_1_Campus"/>
    <measureGroup name="_2_Faculty" caption="_2_Faculty"/>
    <measureGroup name="_3_Department" caption="_3_Department"/>
    <measureGroup name="_4_Course" caption="_4_Course"/>
    <measureGroup name="_5_Instructor" caption="_5_Instructor"/>
    <measureGroup name="_6_Student" caption="_6_Student"/>
    <measureGroup name="_7_Date" caption="_7_Date"/>
    <measureGroup name="_8_Fact_Course_Enrollment" caption="_8_Fact_Course_Enrollment"/>
  </measureGroups>
  <maps count="18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07C51-C470-4F53-BE07-F765FABB8462}" name="PivotTable4" cacheId="1" applyNumberFormats="0" applyBorderFormats="0" applyFontFormats="0" applyPatternFormats="0" applyAlignmentFormats="0" applyWidthHeightFormats="1" dataCaption="Values" tag="589cdb6b-7bf0-44a9-a2a1-c66c0e7bdaf1" updatedVersion="8" minRefreshableVersion="3" itemPrintTitles="1" createdVersion="8" indent="0" outline="1" outlineData="1" multipleFieldFilters="0" chartFormat="39">
  <location ref="K11:L1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udent_id" fld="1" subtotal="count" baseField="0" baseItem="0"/>
  </dataFields>
  <chartFormats count="3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tudent_id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9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7_Date]"/>
        <x15:activeTabTopLevelEntity name="[_8_Fact_Course_Enrollment]"/>
        <x15:activeTabTopLevelEntity name="[_2_Faculty]"/>
        <x15:activeTabTopLevelEntity name="[_6_Stud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8F1C4-0506-4362-8D17-58FFACC386DD}" name="PivotTable3" cacheId="2" applyNumberFormats="0" applyBorderFormats="0" applyFontFormats="0" applyPatternFormats="0" applyAlignmentFormats="0" applyWidthHeightFormats="1" dataCaption="Values" tag="fefa48c2-2db6-4443-97b1-a651a24df80b" updatedVersion="8" minRefreshableVersion="3" itemPrintTitles="1" createdVersion="8" indent="0" outline="1" outlineData="1" multipleFieldFilters="0" chartFormat="31">
  <location ref="D9:H16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final_grade" fld="1" subtotal="average" baseField="0" baseItem="0"/>
  </dataFields>
  <chartFormats count="3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final_grad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9" showRowHeaders="1" showColHeaders="1" showRowStripes="0" showColStripes="0" showLastColumn="1"/>
  <rowHierarchiesUsage count="1">
    <rowHierarchyUsage hierarchyUsage="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7_Date]"/>
        <x15:activeTabTopLevelEntity name="[_8_Fact_Course_Enrollment]"/>
        <x15:activeTabTopLevelEntity name="[_2_Faculty]"/>
        <x15:activeTabTopLevelEntity name="[_6_Student]"/>
        <x15:activeTabTopLevelEntity name="[_1_Camp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59F68-38F5-4A49-9FDA-D139450C628C}" name="PivotTable2" cacheId="0" applyNumberFormats="0" applyBorderFormats="0" applyFontFormats="0" applyPatternFormats="0" applyAlignmentFormats="0" applyWidthHeightFormats="1" dataCaption="Values" tag="009bfa99-8093-46f4-96d3-42babd53b23a" updatedVersion="8" minRefreshableVersion="3" itemPrintTitles="1" createdVersion="8" indent="0" outline="1" outlineData="1" multipleFieldFilters="0" chartFormat="13">
  <location ref="A10:B1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nrollment_id" fld="1" subtotal="count" baseField="0" baseItem="1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enrollm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9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7_Date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E28EC-5C9B-403E-AA0E-7637D243A5F6}" name="PivotTable5" cacheId="4" applyNumberFormats="0" applyBorderFormats="0" applyFontFormats="0" applyPatternFormats="0" applyAlignmentFormats="0" applyWidthHeightFormats="1" dataCaption="Values" tag="ed7f70cc-2139-40bc-9bef-f2de02f07138" updatedVersion="8" minRefreshableVersion="3" useAutoFormatting="1" itemPrintTitles="1" createdVersion="8" indent="0" outline="1" outlineData="1" multipleFieldFilters="0" rowHeaderCaption="Course_name">
  <location ref="A8:D20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fld="2" subtotal="count" baseField="0" baseItem="0"/>
  </dataField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2" selected="0">
              <x v="0"/>
              <x v="1"/>
            </reference>
          </references>
        </pivotArea>
      </pivotAreas>
    </conditionalFormat>
  </conditional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enrollm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9" showRowHeaders="1" showColHeaders="1" showRowStripes="0" showColStripes="0" showLastColumn="1"/>
  <rowHierarchiesUsage count="1">
    <rowHierarchyUsage hierarchyUsage="13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4_Course]"/>
        <x15:activeTabTopLevelEntity name="[_7_Date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AB21A-DD0E-4A3D-AC23-360D02FE3CA2}" name="PivotTable8" cacheId="5" applyNumberFormats="0" applyBorderFormats="0" applyFontFormats="0" applyPatternFormats="0" applyAlignmentFormats="0" applyWidthHeightFormats="1" dataCaption="Values" tag="01f8a21e-d539-428e-83b9-86418355e13c" updatedVersion="8" minRefreshableVersion="3" useAutoFormatting="1" itemPrintTitles="1" createdVersion="8" indent="0" outline="1" outlineData="1" multipleFieldFilters="0" rowHeaderCaption="Course_name">
  <location ref="A24:B35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9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4_Course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6B91F-65B5-453A-862F-DD4926A4232E}" name="PivotTable7" cacheId="6" applyNumberFormats="0" applyBorderFormats="0" applyFontFormats="0" applyPatternFormats="0" applyAlignmentFormats="0" applyWidthHeightFormats="1" dataCaption="Values" tag="b5db6dc7-9c1c-43b3-bcea-7bb6fb8bb493" updatedVersion="8" minRefreshableVersion="3" useAutoFormatting="1" itemPrintTitles="1" createdVersion="8" indent="0" outline="1" outlineData="1" multipleFieldFilters="0" chartFormat="3" rowHeaderCaption="Instructor_name">
  <location ref="I3:J24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 t="grand">
      <x/>
    </i>
  </rowItems>
  <colItems count="1">
    <i/>
  </colItems>
  <dataFields count="1">
    <dataField name="Count of enrollment_id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enrollm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9" showRowHeaders="1" showColHeaders="1" showRowStripes="0" showColStripes="0" showLastColumn="1"/>
  <rowHierarchiesUsage count="2">
    <rowHierarchyUsage hierarchyUsage="18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5_Instructor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B4AD6-9ACA-469B-933C-A3FABBEE75D4}" name="PivotTable6" cacheId="3" applyNumberFormats="0" applyBorderFormats="0" applyFontFormats="0" applyPatternFormats="0" applyAlignmentFormats="0" applyWidthHeightFormats="1" dataCaption="Values" tag="325bd110-c8f7-44dd-b961-e8486e9fca14" updatedVersion="8" minRefreshableVersion="3" useAutoFormatting="1" subtotalHiddenItems="1" itemPrintTitles="1" createdVersion="8" indent="0" outline="1" outlineData="1" multipleFieldFilters="0" chartFormat="17" rowHeaderCaption="Department_name">
  <location ref="F8:G18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final_grade" fld="1" subtotal="average" baseField="0" baseItem="0"/>
  </dataFields>
  <chartFormats count="1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final_grad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9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3_Department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6D89F-736A-425D-A52F-FDB45AA5A7A8}" name="PivotTable10" cacheId="8" applyNumberFormats="0" applyBorderFormats="0" applyFontFormats="0" applyPatternFormats="0" applyAlignmentFormats="0" applyWidthHeightFormats="1" dataCaption="Values" tag="c6c5b41e-c3f8-412e-9a60-7b3f9f367dc1" updatedVersion="8" minRefreshableVersion="3" useAutoFormatting="1" itemPrintTitles="1" createdVersion="8" indent="0" outline="1" outlineData="1" multipleFieldFilters="0" chartFormat="3" rowHeaderCaption="department_name">
  <location ref="E8:F19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Time to Degree (Years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ime to Degree (Years)"/>
    <pivotHierarchy dragToData="1"/>
    <pivotHierarchy dragToData="1"/>
    <pivotHierarchy dragToData="1"/>
  </pivotHierarchies>
  <pivotTableStyleInfo name="PivotStyleDark7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3_Department]"/>
        <x15:activeTabTopLevelEntity name="[_6_Stud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188C8-AD84-405A-94EB-5D2D220FBFBF}" name="PivotTable9" cacheId="9" applyNumberFormats="0" applyBorderFormats="0" applyFontFormats="0" applyPatternFormats="0" applyAlignmentFormats="0" applyWidthHeightFormats="1" dataCaption="Values" tag="3b1c7a71-b280-43f8-87c3-5481fbc0fa36" updatedVersion="8" minRefreshableVersion="3" useAutoFormatting="1" itemPrintTitles="1" createdVersion="8" indent="0" outline="1" outlineData="1" multipleFieldFilters="0" chartFormat="3" rowHeaderCaption="department_name">
  <location ref="A9:B19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redits_earn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Dark7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3_Department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A7699-0A8B-418E-8AF5-8D66DADE939C}" name="PivotTable12" cacheId="7" applyNumberFormats="0" applyBorderFormats="0" applyFontFormats="0" applyPatternFormats="0" applyAlignmentFormats="0" applyWidthHeightFormats="1" dataCaption="Values" tag="bdd1b63b-ee3f-4cf7-b62b-21d891630f92" updatedVersion="8" minRefreshableVersion="3" useAutoFormatting="1" itemPrintTitles="1" createdVersion="8" indent="0" outline="1" outlineData="1" multipleFieldFilters="0" chartFormat="17">
  <location ref="N17:P18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Dark7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1A553-2DC1-4289-9046-C538774434A1}" name="PivotTable11" cacheId="10" applyNumberFormats="0" applyBorderFormats="0" applyFontFormats="0" applyPatternFormats="0" applyAlignmentFormats="0" applyWidthHeightFormats="1" dataCaption="Values" tag="57135cca-69dc-4832-99af-c55998bf963a" updatedVersion="8" minRefreshableVersion="3" useAutoFormatting="1" itemPrintTitles="1" createdVersion="8" indent="0" outline="1" outlineData="1" multipleFieldFilters="0" chartFormat="5" rowHeaderCaption="academic_year">
  <location ref="J15:K1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nrollment_id" fld="1" subtotal="count" baseField="0" baseItem="0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enrollment_id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major_department_id"/>
    <pivotHierarchy dragToData="1" caption="Count of major_department_id"/>
  </pivotHierarchies>
  <pivotTableStyleInfo name="PivotStyleDark7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7_Date]"/>
        <x15:activeTabTopLevelEntity name="[_6_Student]"/>
        <x15:activeTabTopLevelEntity name="[_8_Fact_Course_Enroll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2DF358-BB77-43DD-84BC-8DEAE12FE56E}" autoFormatId="16" applyNumberFormats="0" applyBorderFormats="0" applyFontFormats="0" applyPatternFormats="0" applyAlignmentFormats="0" applyWidthHeightFormats="0">
  <queryTableRefresh nextId="5">
    <queryTableFields count="4">
      <queryTableField id="1" name="campus_id" tableColumnId="1"/>
      <queryTableField id="2" name="campus_name" tableColumnId="2"/>
      <queryTableField id="3" name="location" tableColumnId="3"/>
      <queryTableField id="4" name="chancello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B75DA5-6E3A-41B9-AF80-E58E27073D09}" autoFormatId="16" applyNumberFormats="0" applyBorderFormats="0" applyFontFormats="0" applyPatternFormats="0" applyAlignmentFormats="0" applyWidthHeightFormats="0">
  <queryTableRefresh nextId="4">
    <queryTableFields count="3">
      <queryTableField id="1" name="faculty_id" tableColumnId="1"/>
      <queryTableField id="2" name="faculty_name" tableColumnId="2"/>
      <queryTableField id="3" name="dea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EFB9196-C09D-46FD-8BE1-3A1FC00B73B4}" autoFormatId="16" applyNumberFormats="0" applyBorderFormats="0" applyFontFormats="0" applyPatternFormats="0" applyAlignmentFormats="0" applyWidthHeightFormats="0">
  <queryTableRefresh nextId="5">
    <queryTableFields count="4">
      <queryTableField id="1" name="department_id" tableColumnId="1"/>
      <queryTableField id="2" name="department_name" tableColumnId="2"/>
      <queryTableField id="3" name="department_code" tableColumnId="3"/>
      <queryTableField id="4" name="faculty_id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F07A1E4-4736-465C-A2E2-4146E02B498D}" autoFormatId="16" applyNumberFormats="0" applyBorderFormats="0" applyFontFormats="0" applyPatternFormats="0" applyAlignmentFormats="0" applyWidthHeightFormats="0">
  <queryTableRefresh nextId="7">
    <queryTableFields count="6">
      <queryTableField id="1" name="course_id" tableColumnId="1"/>
      <queryTableField id="2" name="course_code" tableColumnId="2"/>
      <queryTableField id="3" name="course_name" tableColumnId="3"/>
      <queryTableField id="4" name="course_description" tableColumnId="4"/>
      <queryTableField id="5" name="credits" tableColumnId="5"/>
      <queryTableField id="6" name="department_i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E1C4F3D-354F-49EE-8328-FDA83089C050}" autoFormatId="16" applyNumberFormats="0" applyBorderFormats="0" applyFontFormats="0" applyPatternFormats="0" applyAlignmentFormats="0" applyWidthHeightFormats="0">
  <queryTableRefresh nextId="7">
    <queryTableFields count="6">
      <queryTableField id="1" name="instructor_id" tableColumnId="1"/>
      <queryTableField id="2" name="first_name" tableColumnId="2"/>
      <queryTableField id="3" name="last_name" tableColumnId="3"/>
      <queryTableField id="4" name="title" tableColumnId="4"/>
      <queryTableField id="5" name="department_id" tableColumnId="5"/>
      <queryTableField id="6" name="hire_dat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5A8BCC9-2B2D-4F7B-AFA4-9C98E64EB703}" autoFormatId="16" applyNumberFormats="0" applyBorderFormats="0" applyFontFormats="0" applyPatternFormats="0" applyAlignmentFormats="0" applyWidthHeightFormats="0">
  <queryTableRefresh nextId="12">
    <queryTableFields count="11">
      <queryTableField id="1" name="student_id" tableColumnId="1"/>
      <queryTableField id="2" name="first_name" tableColumnId="2"/>
      <queryTableField id="3" name="last_name" tableColumnId="3"/>
      <queryTableField id="4" name="date_of_birth" tableColumnId="4"/>
      <queryTableField id="5" name="gender" tableColumnId="5"/>
      <queryTableField id="6" name="ethnicity" tableColumnId="6"/>
      <queryTableField id="7" name="enrollment_status" tableColumnId="7"/>
      <queryTableField id="8" name="major_department_id" tableColumnId="8"/>
      <queryTableField id="9" name="admission_date" tableColumnId="9"/>
      <queryTableField id="10" name="expected_grad_date" tableColumnId="10"/>
      <queryTableField id="11" name="campus_id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B53F2E9-A39E-42B4-8C79-53750FE56195}" autoFormatId="16" applyNumberFormats="0" applyBorderFormats="0" applyFontFormats="0" applyPatternFormats="0" applyAlignmentFormats="0" applyWidthHeightFormats="0">
  <queryTableRefresh nextId="8">
    <queryTableFields count="7">
      <queryTableField id="1" name="date_id" tableColumnId="1"/>
      <queryTableField id="2" name="full_date" tableColumnId="2"/>
      <queryTableField id="3" name="academic_year" tableColumnId="3"/>
      <queryTableField id="4" name="academic_semester" tableColumnId="4"/>
      <queryTableField id="5" name="academic_term" tableColumnId="5"/>
      <queryTableField id="6" name="is_holiday" tableColumnId="6"/>
      <queryTableField id="7" name="fiscal_period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6AFA535-7ED4-4B08-950C-0239093184DC}" autoFormatId="16" applyNumberFormats="0" applyBorderFormats="0" applyFontFormats="0" applyPatternFormats="0" applyAlignmentFormats="0" applyWidthHeightFormats="0">
  <queryTableRefresh nextId="11">
    <queryTableFields count="10">
      <queryTableField id="1" name="enrollment_id" tableColumnId="1"/>
      <queryTableField id="2" name="student_id" tableColumnId="2"/>
      <queryTableField id="3" name="course_id" tableColumnId="3"/>
      <queryTableField id="4" name="instructor_id" tableColumnId="4"/>
      <queryTableField id="5" name="semester_date_id" tableColumnId="5"/>
      <queryTableField id="6" name="campus_id" tableColumnId="6"/>
      <queryTableField id="7" name="final_grade" tableColumnId="7"/>
      <queryTableField id="8" name="grade_letter" tableColumnId="8"/>
      <queryTableField id="9" name="credits_earned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F3D64-8C0A-4685-8E23-6F11263BE83B}" name="_1_Campus" displayName="_1_Campus" ref="A1:D4" tableType="queryTable" totalsRowShown="0">
  <autoFilter ref="A1:D4" xr:uid="{7F7F3D64-8C0A-4685-8E23-6F11263BE83B}"/>
  <tableColumns count="4">
    <tableColumn id="1" xr3:uid="{AB0D39E6-7DB8-403A-A952-154E79C2C629}" uniqueName="1" name="campus_id" queryTableFieldId="1"/>
    <tableColumn id="2" xr3:uid="{55B5F3BA-D2FE-4FDF-9548-26524C80D90C}" uniqueName="2" name="campus_name" queryTableFieldId="2" dataDxfId="28"/>
    <tableColumn id="3" xr3:uid="{7EADB82A-41FA-4604-98E2-2473CB722EE8}" uniqueName="3" name="location" queryTableFieldId="3" dataDxfId="27"/>
    <tableColumn id="4" xr3:uid="{6B0CBCD1-A8DC-4C7D-9481-E862F7847874}" uniqueName="4" name="chancellor" queryTableFieldId="4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89D91-C03F-4461-A7C3-5946E6B8FD06}" name="_2_Faculty" displayName="_2_Faculty" ref="A1:C6" tableType="queryTable" totalsRowShown="0">
  <autoFilter ref="A1:C6" xr:uid="{D0589D91-C03F-4461-A7C3-5946E6B8FD06}"/>
  <tableColumns count="3">
    <tableColumn id="1" xr3:uid="{8FF366FC-E659-4406-978F-8CEBEDDD2C5B}" uniqueName="1" name="faculty_id" queryTableFieldId="1"/>
    <tableColumn id="2" xr3:uid="{3717E1BF-7339-4345-858D-7610CC035D55}" uniqueName="2" name="faculty_name" queryTableFieldId="2" dataDxfId="25"/>
    <tableColumn id="3" xr3:uid="{0E338822-A80E-4536-B8E8-C1A162CCB532}" uniqueName="3" name="dean" queryTableFieldId="3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D040E6-4C3D-48DE-B093-DCDB5F788D44}" name="_3_Department" displayName="_3_Department" ref="A1:D11" tableType="queryTable" totalsRowShown="0">
  <autoFilter ref="A1:D11" xr:uid="{66D040E6-4C3D-48DE-B093-DCDB5F788D44}"/>
  <tableColumns count="4">
    <tableColumn id="1" xr3:uid="{F0C41008-32C2-49D8-AD99-66B545FABE59}" uniqueName="1" name="department_id" queryTableFieldId="1"/>
    <tableColumn id="2" xr3:uid="{A40CEF42-6DBE-47EC-9D6F-9CAE934E7784}" uniqueName="2" name="department_name" queryTableFieldId="2" dataDxfId="23"/>
    <tableColumn id="3" xr3:uid="{1CCE571C-4273-4B21-8BD0-C8876D4E11F4}" uniqueName="3" name="department_code" queryTableFieldId="3" dataDxfId="22"/>
    <tableColumn id="4" xr3:uid="{74682016-991C-4393-A034-E1CADDA3961D}" uniqueName="4" name="faculty_id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602B66-E80B-4327-8BBA-449E79059C91}" name="_4_Course" displayName="_4_Course" ref="A1:F11" tableType="queryTable" totalsRowShown="0">
  <autoFilter ref="A1:F11" xr:uid="{55602B66-E80B-4327-8BBA-449E79059C91}"/>
  <tableColumns count="6">
    <tableColumn id="1" xr3:uid="{EE120D6A-348A-44B9-BD5F-79C52636A4D3}" uniqueName="1" name="course_id" queryTableFieldId="1"/>
    <tableColumn id="2" xr3:uid="{E7B81775-06D5-439B-B255-C5E6B992D91B}" uniqueName="2" name="course_code" queryTableFieldId="2" dataDxfId="21"/>
    <tableColumn id="3" xr3:uid="{ABF188C0-FCD7-4A34-BB1F-4F575F02170E}" uniqueName="3" name="course_name" queryTableFieldId="3" dataDxfId="20"/>
    <tableColumn id="4" xr3:uid="{16EC3104-B65F-45F3-B315-A0D5474E0577}" uniqueName="4" name="course_description" queryTableFieldId="4" dataDxfId="19"/>
    <tableColumn id="5" xr3:uid="{A92222DD-2D82-4837-ABD3-741A903AD8CE}" uniqueName="5" name="credits" queryTableFieldId="5"/>
    <tableColumn id="6" xr3:uid="{974EFC71-7C60-4475-9A52-6E75F2958C54}" uniqueName="6" name="department_i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F83C3E-E61C-42FC-BFED-94F23E86332B}" name="_5_Instructor" displayName="_5_Instructor" ref="A1:F11" tableType="queryTable" totalsRowShown="0">
  <autoFilter ref="A1:F11" xr:uid="{9DF83C3E-E61C-42FC-BFED-94F23E86332B}"/>
  <tableColumns count="6">
    <tableColumn id="1" xr3:uid="{CB54C789-C6B6-4762-A25F-145E1BCEE691}" uniqueName="1" name="instructor_id" queryTableFieldId="1"/>
    <tableColumn id="2" xr3:uid="{D287EC6D-531F-4A6E-8979-A810B11A3D83}" uniqueName="2" name="first_name" queryTableFieldId="2" dataDxfId="18"/>
    <tableColumn id="3" xr3:uid="{8A2AD67D-9298-40D1-96D0-1AD15DA5EA55}" uniqueName="3" name="last_name" queryTableFieldId="3" dataDxfId="17"/>
    <tableColumn id="4" xr3:uid="{FBCB6BAC-7539-4E06-AE87-A23AF8FF5EA8}" uniqueName="4" name="title" queryTableFieldId="4" dataDxfId="16"/>
    <tableColumn id="5" xr3:uid="{C36333B7-F7C9-488B-82A4-AE638E35EBFC}" uniqueName="5" name="department_id" queryTableFieldId="5"/>
    <tableColumn id="6" xr3:uid="{1A7E3682-7946-4A5E-9029-BA00EE212E08}" uniqueName="6" name="hire_date" queryTableFieldId="6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EC3519-0557-4D8B-9EB1-FE87C8881FAC}" name="_6_Student" displayName="_6_Student" ref="A1:K11" tableType="queryTable" totalsRowShown="0">
  <autoFilter ref="A1:K11" xr:uid="{0CEC3519-0557-4D8B-9EB1-FE87C8881FAC}"/>
  <tableColumns count="11">
    <tableColumn id="1" xr3:uid="{DD7DDDCA-DD66-4017-9FA6-F17443F275F3}" uniqueName="1" name="student_id" queryTableFieldId="1"/>
    <tableColumn id="2" xr3:uid="{849086BA-7662-4B5A-8878-D060D02BF3EB}" uniqueName="2" name="first_name" queryTableFieldId="2" dataDxfId="14"/>
    <tableColumn id="3" xr3:uid="{9175294F-F107-47E3-A766-D51F2FB865E2}" uniqueName="3" name="last_name" queryTableFieldId="3" dataDxfId="13"/>
    <tableColumn id="4" xr3:uid="{E1CD94F1-F7C9-4351-B7C5-3A4F5769E0D7}" uniqueName="4" name="date_of_birth" queryTableFieldId="4" dataDxfId="12"/>
    <tableColumn id="5" xr3:uid="{1B75062A-F58A-422F-920A-87CED4317531}" uniqueName="5" name="gender" queryTableFieldId="5" dataDxfId="11"/>
    <tableColumn id="6" xr3:uid="{502451C9-ADD3-43DB-98E6-053ED9613DDC}" uniqueName="6" name="ethnicity" queryTableFieldId="6" dataDxfId="10"/>
    <tableColumn id="7" xr3:uid="{58FC1DC8-1842-4AE5-911B-936EA87B74F6}" uniqueName="7" name="enrollment_status" queryTableFieldId="7" dataDxfId="9"/>
    <tableColumn id="8" xr3:uid="{02C421D7-0D36-4292-B630-AA6DA9A7F86E}" uniqueName="8" name="major_department_id" queryTableFieldId="8"/>
    <tableColumn id="9" xr3:uid="{F30748DF-D028-423A-9A4B-C83DB9B4E7B6}" uniqueName="9" name="admission_date" queryTableFieldId="9" dataDxfId="8"/>
    <tableColumn id="10" xr3:uid="{FAD025CC-1B45-4418-B069-287729B507BF}" uniqueName="10" name="expected_grad_date" queryTableFieldId="10" dataDxfId="7"/>
    <tableColumn id="11" xr3:uid="{6430E672-BB0F-4352-A21B-1845EECC54C4}" uniqueName="11" name="campus_id" queryTableField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FCBF1A-06D2-4D16-92D2-7DBAD5DF19B1}" name="_7_Date" displayName="_7_Date" ref="A1:G11" tableType="queryTable" totalsRowShown="0">
  <autoFilter ref="A1:G11" xr:uid="{BFFCBF1A-06D2-4D16-92D2-7DBAD5DF19B1}"/>
  <tableColumns count="7">
    <tableColumn id="1" xr3:uid="{9FB03BB9-0B3D-44B9-BB5E-ECD351924986}" uniqueName="1" name="date_id" queryTableFieldId="1"/>
    <tableColumn id="2" xr3:uid="{67DDD444-697E-4926-9832-CAB0418897C2}" uniqueName="2" name="full_date" queryTableFieldId="2" dataDxfId="6"/>
    <tableColumn id="3" xr3:uid="{4866CBFB-8FD3-4CE1-A726-14201E69CF9F}" uniqueName="3" name="academic_year" queryTableFieldId="3" dataDxfId="5"/>
    <tableColumn id="4" xr3:uid="{BF26564B-3359-4413-A9AF-C9D84BA64ED1}" uniqueName="4" name="academic_semester" queryTableFieldId="4" dataDxfId="4"/>
    <tableColumn id="5" xr3:uid="{3D351FC3-3BEC-4BA7-B74D-16B03D0FE40F}" uniqueName="5" name="academic_term" queryTableFieldId="5" dataDxfId="3"/>
    <tableColumn id="6" xr3:uid="{C235B827-5CCC-4A71-A500-1E9D493ED052}" uniqueName="6" name="is_holiday" queryTableFieldId="6"/>
    <tableColumn id="7" xr3:uid="{7EFDCA18-83F5-4797-8907-32DC291B638B}" uniqueName="7" name="fiscal_period" queryTableFieldId="7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064C3A-90E9-4AB9-998D-D3D98DB93EEA}" name="_8_Fact_Course_Enrollment" displayName="_8_Fact_Course_Enrollment" ref="A1:J11" tableType="queryTable" totalsRowShown="0">
  <autoFilter ref="A1:J11" xr:uid="{EC064C3A-90E9-4AB9-998D-D3D98DB93EEA}"/>
  <tableColumns count="10">
    <tableColumn id="1" xr3:uid="{55C6E4E8-CD42-46F1-B4C8-DBC98CCF80DD}" uniqueName="1" name="enrollment_id" queryTableFieldId="1"/>
    <tableColumn id="2" xr3:uid="{4D4E3D09-8CAF-49AA-A385-2607BEC66B60}" uniqueName="2" name="student_id" queryTableFieldId="2"/>
    <tableColumn id="3" xr3:uid="{0CFB0DAF-8421-4207-8BBF-D794C96AA570}" uniqueName="3" name="course_id" queryTableFieldId="3"/>
    <tableColumn id="4" xr3:uid="{CAA06BD7-56A5-4E00-9DE6-E90222FDE257}" uniqueName="4" name="instructor_id" queryTableFieldId="4"/>
    <tableColumn id="5" xr3:uid="{526C49F2-D088-4A3F-B568-52D209E11486}" uniqueName="5" name="semester_date_id" queryTableFieldId="5"/>
    <tableColumn id="6" xr3:uid="{468D6E0D-DA0D-4EE3-9692-2392167FC2E4}" uniqueName="6" name="campus_id" queryTableFieldId="6"/>
    <tableColumn id="7" xr3:uid="{9246C3A4-A2CA-4EBF-BC46-3BA674A66A1F}" uniqueName="7" name="final_grade" queryTableFieldId="7"/>
    <tableColumn id="8" xr3:uid="{A3A46339-1A73-4FF0-ADC6-34468CF1D720}" uniqueName="8" name="grade_letter" queryTableFieldId="8" dataDxfId="1"/>
    <tableColumn id="9" xr3:uid="{447A080D-D0BF-4AC7-BE39-8919012357E6}" uniqueName="9" name="credits_earned" queryTableFieldId="9"/>
    <tableColumn id="10" xr3:uid="{CD28A0F1-7051-4DAD-B104-F91C4F8896A1}" uniqueName="10" name="statu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6735-FC50-452E-AC1E-162D1BD3515B}">
  <dimension ref="A1:D4"/>
  <sheetViews>
    <sheetView workbookViewId="0">
      <selection activeCell="L19" sqref="L19"/>
    </sheetView>
  </sheetViews>
  <sheetFormatPr defaultRowHeight="14.4" x14ac:dyDescent="0.3"/>
  <cols>
    <col min="1" max="1" width="12.33203125" bestFit="1" customWidth="1"/>
    <col min="2" max="2" width="15.6640625" bestFit="1" customWidth="1"/>
    <col min="3" max="3" width="10" bestFit="1" customWidth="1"/>
    <col min="4" max="4" width="1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8BF3-A4F3-459E-BA5A-2191FCDA44B6}">
  <dimension ref="A1:C6"/>
  <sheetViews>
    <sheetView workbookViewId="0">
      <selection activeCell="L18" sqref="L18"/>
    </sheetView>
  </sheetViews>
  <sheetFormatPr defaultRowHeight="14.4" x14ac:dyDescent="0.3"/>
  <cols>
    <col min="1" max="1" width="11.5546875" bestFit="1" customWidth="1"/>
    <col min="2" max="2" width="19" bestFit="1" customWidth="1"/>
    <col min="3" max="3" width="11.3320312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16</v>
      </c>
      <c r="C2" t="s">
        <v>17</v>
      </c>
    </row>
    <row r="3" spans="1:3" x14ac:dyDescent="0.3">
      <c r="A3">
        <v>2</v>
      </c>
      <c r="B3" t="s">
        <v>18</v>
      </c>
      <c r="C3" t="s">
        <v>19</v>
      </c>
    </row>
    <row r="4" spans="1:3" x14ac:dyDescent="0.3">
      <c r="A4">
        <v>3</v>
      </c>
      <c r="B4" t="s">
        <v>20</v>
      </c>
      <c r="C4" t="s">
        <v>21</v>
      </c>
    </row>
    <row r="5" spans="1:3" x14ac:dyDescent="0.3">
      <c r="A5">
        <v>4</v>
      </c>
      <c r="B5" t="s">
        <v>22</v>
      </c>
      <c r="C5" t="s">
        <v>23</v>
      </c>
    </row>
    <row r="6" spans="1:3" x14ac:dyDescent="0.3">
      <c r="A6">
        <v>5</v>
      </c>
      <c r="B6" t="s">
        <v>24</v>
      </c>
      <c r="C6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A2E7-A5F1-4124-80D1-A2674EC91B1B}">
  <dimension ref="A1:D11"/>
  <sheetViews>
    <sheetView workbookViewId="0"/>
  </sheetViews>
  <sheetFormatPr defaultRowHeight="14.4" x14ac:dyDescent="0.3"/>
  <cols>
    <col min="1" max="1" width="15.88671875" bestFit="1" customWidth="1"/>
    <col min="2" max="2" width="20.33203125" bestFit="1" customWidth="1"/>
    <col min="3" max="3" width="18.44140625" bestFit="1" customWidth="1"/>
    <col min="4" max="4" width="11.5546875" bestFit="1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13</v>
      </c>
    </row>
    <row r="2" spans="1:4" x14ac:dyDescent="0.3">
      <c r="A2">
        <v>1</v>
      </c>
      <c r="B2" t="s">
        <v>29</v>
      </c>
      <c r="C2" t="s">
        <v>30</v>
      </c>
      <c r="D2">
        <v>1</v>
      </c>
    </row>
    <row r="3" spans="1:4" x14ac:dyDescent="0.3">
      <c r="A3">
        <v>2</v>
      </c>
      <c r="B3" t="s">
        <v>31</v>
      </c>
      <c r="C3" t="s">
        <v>32</v>
      </c>
      <c r="D3">
        <v>1</v>
      </c>
    </row>
    <row r="4" spans="1:4" x14ac:dyDescent="0.3">
      <c r="A4">
        <v>3</v>
      </c>
      <c r="B4" t="s">
        <v>33</v>
      </c>
      <c r="C4" t="s">
        <v>34</v>
      </c>
      <c r="D4">
        <v>2</v>
      </c>
    </row>
    <row r="5" spans="1:4" x14ac:dyDescent="0.3">
      <c r="A5">
        <v>4</v>
      </c>
      <c r="B5" t="s">
        <v>35</v>
      </c>
      <c r="C5" t="s">
        <v>36</v>
      </c>
      <c r="D5">
        <v>2</v>
      </c>
    </row>
    <row r="6" spans="1:4" x14ac:dyDescent="0.3">
      <c r="A6">
        <v>5</v>
      </c>
      <c r="B6" t="s">
        <v>37</v>
      </c>
      <c r="C6" t="s">
        <v>38</v>
      </c>
      <c r="D6">
        <v>3</v>
      </c>
    </row>
    <row r="7" spans="1:4" x14ac:dyDescent="0.3">
      <c r="A7">
        <v>6</v>
      </c>
      <c r="B7" t="s">
        <v>39</v>
      </c>
      <c r="C7" t="s">
        <v>40</v>
      </c>
      <c r="D7">
        <v>3</v>
      </c>
    </row>
    <row r="8" spans="1:4" x14ac:dyDescent="0.3">
      <c r="A8">
        <v>7</v>
      </c>
      <c r="B8" t="s">
        <v>41</v>
      </c>
      <c r="C8" t="s">
        <v>42</v>
      </c>
      <c r="D8">
        <v>4</v>
      </c>
    </row>
    <row r="9" spans="1:4" x14ac:dyDescent="0.3">
      <c r="A9">
        <v>8</v>
      </c>
      <c r="B9" t="s">
        <v>43</v>
      </c>
      <c r="C9" t="s">
        <v>44</v>
      </c>
      <c r="D9">
        <v>4</v>
      </c>
    </row>
    <row r="10" spans="1:4" x14ac:dyDescent="0.3">
      <c r="A10">
        <v>9</v>
      </c>
      <c r="B10" t="s">
        <v>45</v>
      </c>
      <c r="C10" t="s">
        <v>46</v>
      </c>
      <c r="D10">
        <v>5</v>
      </c>
    </row>
    <row r="11" spans="1:4" x14ac:dyDescent="0.3">
      <c r="A11">
        <v>10</v>
      </c>
      <c r="B11" t="s">
        <v>47</v>
      </c>
      <c r="C11" t="s">
        <v>48</v>
      </c>
      <c r="D1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C544-7CDC-4154-8926-DE06F3C601BC}">
  <dimension ref="A1:F11"/>
  <sheetViews>
    <sheetView workbookViewId="0">
      <selection activeCell="F21" sqref="F21"/>
    </sheetView>
  </sheetViews>
  <sheetFormatPr defaultRowHeight="14.4" x14ac:dyDescent="0.3"/>
  <cols>
    <col min="1" max="1" width="11.33203125" bestFit="1" customWidth="1"/>
    <col min="2" max="2" width="13.88671875" bestFit="1" customWidth="1"/>
    <col min="3" max="3" width="18.6640625" bestFit="1" customWidth="1"/>
    <col min="4" max="4" width="28.5546875" bestFit="1" customWidth="1"/>
    <col min="5" max="5" width="8.77734375" bestFit="1" customWidth="1"/>
    <col min="6" max="6" width="15.88671875" bestFit="1" customWidth="1"/>
  </cols>
  <sheetData>
    <row r="1" spans="1:6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26</v>
      </c>
    </row>
    <row r="2" spans="1:6" x14ac:dyDescent="0.3">
      <c r="A2">
        <v>1</v>
      </c>
      <c r="B2" t="s">
        <v>54</v>
      </c>
      <c r="C2" t="s">
        <v>55</v>
      </c>
      <c r="D2" t="s">
        <v>56</v>
      </c>
      <c r="E2">
        <v>4</v>
      </c>
      <c r="F2">
        <v>1</v>
      </c>
    </row>
    <row r="3" spans="1:6" x14ac:dyDescent="0.3">
      <c r="A3">
        <v>2</v>
      </c>
      <c r="B3" t="s">
        <v>57</v>
      </c>
      <c r="C3" t="s">
        <v>58</v>
      </c>
      <c r="D3" t="s">
        <v>59</v>
      </c>
      <c r="E3">
        <v>4</v>
      </c>
      <c r="F3">
        <v>1</v>
      </c>
    </row>
    <row r="4" spans="1:6" x14ac:dyDescent="0.3">
      <c r="A4">
        <v>3</v>
      </c>
      <c r="B4" t="s">
        <v>60</v>
      </c>
      <c r="C4" t="s">
        <v>61</v>
      </c>
      <c r="D4" t="s">
        <v>62</v>
      </c>
      <c r="E4">
        <v>3</v>
      </c>
      <c r="F4">
        <v>2</v>
      </c>
    </row>
    <row r="5" spans="1:6" x14ac:dyDescent="0.3">
      <c r="A5">
        <v>4</v>
      </c>
      <c r="B5" t="s">
        <v>63</v>
      </c>
      <c r="C5" t="s">
        <v>64</v>
      </c>
      <c r="D5" t="s">
        <v>65</v>
      </c>
      <c r="E5">
        <v>4</v>
      </c>
      <c r="F5">
        <v>3</v>
      </c>
    </row>
    <row r="6" spans="1:6" x14ac:dyDescent="0.3">
      <c r="A6">
        <v>5</v>
      </c>
      <c r="B6" t="s">
        <v>66</v>
      </c>
      <c r="C6" t="s">
        <v>67</v>
      </c>
      <c r="D6" t="s">
        <v>68</v>
      </c>
      <c r="E6">
        <v>4</v>
      </c>
      <c r="F6">
        <v>4</v>
      </c>
    </row>
    <row r="7" spans="1:6" x14ac:dyDescent="0.3">
      <c r="A7">
        <v>6</v>
      </c>
      <c r="B7" t="s">
        <v>69</v>
      </c>
      <c r="C7" t="s">
        <v>70</v>
      </c>
      <c r="D7" t="s">
        <v>71</v>
      </c>
      <c r="E7">
        <v>3</v>
      </c>
      <c r="F7">
        <v>5</v>
      </c>
    </row>
    <row r="8" spans="1:6" x14ac:dyDescent="0.3">
      <c r="A8">
        <v>7</v>
      </c>
      <c r="B8" t="s">
        <v>72</v>
      </c>
      <c r="C8" t="s">
        <v>73</v>
      </c>
      <c r="D8" t="s">
        <v>74</v>
      </c>
      <c r="E8">
        <v>3</v>
      </c>
      <c r="F8">
        <v>6</v>
      </c>
    </row>
    <row r="9" spans="1:6" x14ac:dyDescent="0.3">
      <c r="A9">
        <v>8</v>
      </c>
      <c r="B9" t="s">
        <v>75</v>
      </c>
      <c r="C9" t="s">
        <v>76</v>
      </c>
      <c r="D9" t="s">
        <v>77</v>
      </c>
      <c r="E9">
        <v>3</v>
      </c>
      <c r="F9">
        <v>7</v>
      </c>
    </row>
    <row r="10" spans="1:6" x14ac:dyDescent="0.3">
      <c r="A10">
        <v>9</v>
      </c>
      <c r="B10" t="s">
        <v>78</v>
      </c>
      <c r="C10" t="s">
        <v>79</v>
      </c>
      <c r="D10" t="s">
        <v>80</v>
      </c>
      <c r="E10">
        <v>3</v>
      </c>
      <c r="F10">
        <v>8</v>
      </c>
    </row>
    <row r="11" spans="1:6" x14ac:dyDescent="0.3">
      <c r="A11">
        <v>10</v>
      </c>
      <c r="B11" t="s">
        <v>81</v>
      </c>
      <c r="C11" t="s">
        <v>82</v>
      </c>
      <c r="D11" t="s">
        <v>83</v>
      </c>
      <c r="E11">
        <v>4</v>
      </c>
      <c r="F11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CF68-3BE6-412D-B003-0AE526016261}">
  <dimension ref="A1:F11"/>
  <sheetViews>
    <sheetView workbookViewId="0"/>
  </sheetViews>
  <sheetFormatPr defaultRowHeight="14.4" x14ac:dyDescent="0.3"/>
  <cols>
    <col min="1" max="1" width="13.88671875" bestFit="1" customWidth="1"/>
    <col min="2" max="2" width="12.21875" bestFit="1" customWidth="1"/>
    <col min="3" max="3" width="11.88671875" bestFit="1" customWidth="1"/>
    <col min="4" max="4" width="9.5546875" bestFit="1" customWidth="1"/>
    <col min="5" max="5" width="15.88671875" bestFit="1" customWidth="1"/>
    <col min="6" max="6" width="11.21875" bestFit="1" customWidth="1"/>
  </cols>
  <sheetData>
    <row r="1" spans="1:6" x14ac:dyDescent="0.3">
      <c r="A1" t="s">
        <v>84</v>
      </c>
      <c r="B1" t="s">
        <v>85</v>
      </c>
      <c r="C1" t="s">
        <v>86</v>
      </c>
      <c r="D1" t="s">
        <v>87</v>
      </c>
      <c r="E1" t="s">
        <v>26</v>
      </c>
      <c r="F1" t="s">
        <v>88</v>
      </c>
    </row>
    <row r="2" spans="1:6" x14ac:dyDescent="0.3">
      <c r="A2">
        <v>1</v>
      </c>
      <c r="B2" t="s">
        <v>89</v>
      </c>
      <c r="C2" t="s">
        <v>90</v>
      </c>
      <c r="D2" t="s">
        <v>91</v>
      </c>
      <c r="E2">
        <v>1</v>
      </c>
      <c r="F2" s="1">
        <v>42217</v>
      </c>
    </row>
    <row r="3" spans="1:6" x14ac:dyDescent="0.3">
      <c r="A3">
        <v>2</v>
      </c>
      <c r="B3" t="s">
        <v>92</v>
      </c>
      <c r="C3" t="s">
        <v>93</v>
      </c>
      <c r="D3" t="s">
        <v>94</v>
      </c>
      <c r="E3">
        <v>2</v>
      </c>
      <c r="F3" s="1">
        <v>42931</v>
      </c>
    </row>
    <row r="4" spans="1:6" x14ac:dyDescent="0.3">
      <c r="A4">
        <v>3</v>
      </c>
      <c r="B4" t="s">
        <v>95</v>
      </c>
      <c r="C4" t="s">
        <v>96</v>
      </c>
      <c r="D4" t="s">
        <v>91</v>
      </c>
      <c r="E4">
        <v>3</v>
      </c>
      <c r="F4" s="1">
        <v>41080</v>
      </c>
    </row>
    <row r="5" spans="1:6" x14ac:dyDescent="0.3">
      <c r="A5">
        <v>4</v>
      </c>
      <c r="B5" t="s">
        <v>97</v>
      </c>
      <c r="C5" t="s">
        <v>98</v>
      </c>
      <c r="D5" t="s">
        <v>94</v>
      </c>
      <c r="E5">
        <v>4</v>
      </c>
      <c r="F5" s="1">
        <v>43353</v>
      </c>
    </row>
    <row r="6" spans="1:6" x14ac:dyDescent="0.3">
      <c r="A6">
        <v>5</v>
      </c>
      <c r="B6" t="s">
        <v>99</v>
      </c>
      <c r="C6" t="s">
        <v>100</v>
      </c>
      <c r="D6" t="s">
        <v>91</v>
      </c>
      <c r="E6">
        <v>5</v>
      </c>
      <c r="F6" s="1">
        <v>40203</v>
      </c>
    </row>
    <row r="7" spans="1:6" x14ac:dyDescent="0.3">
      <c r="A7">
        <v>6</v>
      </c>
      <c r="B7" t="s">
        <v>101</v>
      </c>
      <c r="C7" t="s">
        <v>102</v>
      </c>
      <c r="D7" t="s">
        <v>94</v>
      </c>
      <c r="E7">
        <v>6</v>
      </c>
      <c r="F7" s="1">
        <v>42443</v>
      </c>
    </row>
    <row r="8" spans="1:6" x14ac:dyDescent="0.3">
      <c r="A8">
        <v>7</v>
      </c>
      <c r="B8" t="s">
        <v>103</v>
      </c>
      <c r="C8" t="s">
        <v>104</v>
      </c>
      <c r="D8" t="s">
        <v>91</v>
      </c>
      <c r="E8">
        <v>7</v>
      </c>
      <c r="F8" s="1">
        <v>43615</v>
      </c>
    </row>
    <row r="9" spans="1:6" x14ac:dyDescent="0.3">
      <c r="A9">
        <v>8</v>
      </c>
      <c r="B9" t="s">
        <v>105</v>
      </c>
      <c r="C9" t="s">
        <v>106</v>
      </c>
      <c r="D9" t="s">
        <v>94</v>
      </c>
      <c r="E9">
        <v>8</v>
      </c>
      <c r="F9" s="1">
        <v>41733</v>
      </c>
    </row>
    <row r="10" spans="1:6" x14ac:dyDescent="0.3">
      <c r="A10">
        <v>9</v>
      </c>
      <c r="B10" t="s">
        <v>107</v>
      </c>
      <c r="C10" t="s">
        <v>108</v>
      </c>
      <c r="D10" t="s">
        <v>91</v>
      </c>
      <c r="E10">
        <v>9</v>
      </c>
      <c r="F10" s="1">
        <v>39856</v>
      </c>
    </row>
    <row r="11" spans="1:6" x14ac:dyDescent="0.3">
      <c r="A11">
        <v>10</v>
      </c>
      <c r="B11" t="s">
        <v>109</v>
      </c>
      <c r="C11" t="s">
        <v>110</v>
      </c>
      <c r="D11" t="s">
        <v>94</v>
      </c>
      <c r="E11">
        <v>10</v>
      </c>
      <c r="F11" s="1">
        <v>40858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A865-328F-42C4-9281-E3C0CF1DF061}">
  <dimension ref="A1:K11"/>
  <sheetViews>
    <sheetView workbookViewId="0">
      <selection activeCell="H9" sqref="H9"/>
    </sheetView>
  </sheetViews>
  <sheetFormatPr defaultRowHeight="14.4" x14ac:dyDescent="0.3"/>
  <cols>
    <col min="1" max="2" width="12.21875" bestFit="1" customWidth="1"/>
    <col min="3" max="3" width="11.88671875" bestFit="1" customWidth="1"/>
    <col min="4" max="4" width="14.77734375" bestFit="1" customWidth="1"/>
    <col min="5" max="5" width="9.109375" bestFit="1" customWidth="1"/>
    <col min="6" max="6" width="10.5546875" bestFit="1" customWidth="1"/>
    <col min="7" max="7" width="18.5546875" bestFit="1" customWidth="1"/>
    <col min="8" max="8" width="22" bestFit="1" customWidth="1"/>
    <col min="9" max="9" width="16.5546875" bestFit="1" customWidth="1"/>
    <col min="10" max="10" width="20.6640625" bestFit="1" customWidth="1"/>
    <col min="11" max="11" width="12.33203125" bestFit="1" customWidth="1"/>
  </cols>
  <sheetData>
    <row r="1" spans="1:11" x14ac:dyDescent="0.3">
      <c r="A1" t="s">
        <v>111</v>
      </c>
      <c r="B1" t="s">
        <v>85</v>
      </c>
      <c r="C1" t="s">
        <v>86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0</v>
      </c>
    </row>
    <row r="2" spans="1:11" x14ac:dyDescent="0.3">
      <c r="A2">
        <v>1</v>
      </c>
      <c r="B2" t="s">
        <v>119</v>
      </c>
      <c r="C2" t="s">
        <v>120</v>
      </c>
      <c r="D2" s="1">
        <v>37386</v>
      </c>
      <c r="E2" t="s">
        <v>121</v>
      </c>
      <c r="F2" t="s">
        <v>122</v>
      </c>
      <c r="G2" t="s">
        <v>123</v>
      </c>
      <c r="H2">
        <v>1</v>
      </c>
      <c r="I2" s="1">
        <v>44409</v>
      </c>
      <c r="J2" s="1">
        <v>45807</v>
      </c>
      <c r="K2">
        <v>1</v>
      </c>
    </row>
    <row r="3" spans="1:11" x14ac:dyDescent="0.3">
      <c r="A3">
        <v>2</v>
      </c>
      <c r="B3" t="s">
        <v>124</v>
      </c>
      <c r="C3" t="s">
        <v>125</v>
      </c>
      <c r="D3" s="1">
        <v>37215</v>
      </c>
      <c r="E3" t="s">
        <v>126</v>
      </c>
      <c r="F3" t="s">
        <v>122</v>
      </c>
      <c r="G3" t="s">
        <v>123</v>
      </c>
      <c r="H3">
        <v>2</v>
      </c>
      <c r="I3" s="1">
        <v>44044</v>
      </c>
      <c r="J3" s="1">
        <v>45442</v>
      </c>
      <c r="K3">
        <v>1</v>
      </c>
    </row>
    <row r="4" spans="1:11" x14ac:dyDescent="0.3">
      <c r="A4">
        <v>3</v>
      </c>
      <c r="B4" t="s">
        <v>127</v>
      </c>
      <c r="C4" t="s">
        <v>104</v>
      </c>
      <c r="D4" s="1">
        <v>37327</v>
      </c>
      <c r="E4" t="s">
        <v>121</v>
      </c>
      <c r="F4" t="s">
        <v>122</v>
      </c>
      <c r="G4" t="s">
        <v>123</v>
      </c>
      <c r="H4">
        <v>3</v>
      </c>
      <c r="I4" s="1">
        <v>44409</v>
      </c>
      <c r="J4" s="1">
        <v>45807</v>
      </c>
      <c r="K4">
        <v>1</v>
      </c>
    </row>
    <row r="5" spans="1:11" x14ac:dyDescent="0.3">
      <c r="A5">
        <v>4</v>
      </c>
      <c r="B5" t="s">
        <v>128</v>
      </c>
      <c r="C5" t="s">
        <v>129</v>
      </c>
      <c r="D5" s="1">
        <v>37077</v>
      </c>
      <c r="E5" t="s">
        <v>126</v>
      </c>
      <c r="F5" t="s">
        <v>122</v>
      </c>
      <c r="G5" t="s">
        <v>123</v>
      </c>
      <c r="H5">
        <v>4</v>
      </c>
      <c r="I5" s="1">
        <v>44044</v>
      </c>
      <c r="J5" s="1">
        <v>45442</v>
      </c>
      <c r="K5">
        <v>2</v>
      </c>
    </row>
    <row r="6" spans="1:11" x14ac:dyDescent="0.3">
      <c r="A6">
        <v>5</v>
      </c>
      <c r="B6" t="s">
        <v>130</v>
      </c>
      <c r="C6" t="s">
        <v>131</v>
      </c>
      <c r="D6" s="1">
        <v>37592</v>
      </c>
      <c r="E6" t="s">
        <v>121</v>
      </c>
      <c r="F6" t="s">
        <v>122</v>
      </c>
      <c r="G6" t="s">
        <v>123</v>
      </c>
      <c r="H6">
        <v>5</v>
      </c>
      <c r="I6" s="1">
        <v>44409</v>
      </c>
      <c r="J6" s="1">
        <v>45807</v>
      </c>
      <c r="K6">
        <v>2</v>
      </c>
    </row>
    <row r="7" spans="1:11" x14ac:dyDescent="0.3">
      <c r="A7">
        <v>6</v>
      </c>
      <c r="B7" t="s">
        <v>132</v>
      </c>
      <c r="C7" t="s">
        <v>102</v>
      </c>
      <c r="D7" s="1">
        <v>37646</v>
      </c>
      <c r="E7" t="s">
        <v>126</v>
      </c>
      <c r="F7" t="s">
        <v>122</v>
      </c>
      <c r="G7" t="s">
        <v>123</v>
      </c>
      <c r="H7">
        <v>6</v>
      </c>
      <c r="I7" s="1">
        <v>44774</v>
      </c>
      <c r="J7" s="1">
        <v>46172</v>
      </c>
      <c r="K7">
        <v>2</v>
      </c>
    </row>
    <row r="8" spans="1:11" x14ac:dyDescent="0.3">
      <c r="A8">
        <v>7</v>
      </c>
      <c r="B8" t="s">
        <v>133</v>
      </c>
      <c r="C8" t="s">
        <v>106</v>
      </c>
      <c r="D8" s="1">
        <v>37060</v>
      </c>
      <c r="E8" t="s">
        <v>121</v>
      </c>
      <c r="F8" t="s">
        <v>122</v>
      </c>
      <c r="G8" t="s">
        <v>123</v>
      </c>
      <c r="H8">
        <v>7</v>
      </c>
      <c r="I8" s="1">
        <v>44044</v>
      </c>
      <c r="J8" s="1">
        <v>45442</v>
      </c>
      <c r="K8">
        <v>3</v>
      </c>
    </row>
    <row r="9" spans="1:11" x14ac:dyDescent="0.3">
      <c r="A9">
        <v>8</v>
      </c>
      <c r="B9" t="s">
        <v>134</v>
      </c>
      <c r="C9" t="s">
        <v>135</v>
      </c>
      <c r="D9" s="1">
        <v>37498</v>
      </c>
      <c r="E9" t="s">
        <v>126</v>
      </c>
      <c r="F9" t="s">
        <v>122</v>
      </c>
      <c r="G9" t="s">
        <v>123</v>
      </c>
      <c r="H9">
        <v>8</v>
      </c>
      <c r="I9" s="1">
        <v>44409</v>
      </c>
      <c r="J9" s="1">
        <v>45807</v>
      </c>
      <c r="K9">
        <v>3</v>
      </c>
    </row>
    <row r="10" spans="1:11" x14ac:dyDescent="0.3">
      <c r="A10">
        <v>9</v>
      </c>
      <c r="B10" t="s">
        <v>136</v>
      </c>
      <c r="C10" t="s">
        <v>137</v>
      </c>
      <c r="D10" s="1">
        <v>37178</v>
      </c>
      <c r="E10" t="s">
        <v>121</v>
      </c>
      <c r="F10" t="s">
        <v>122</v>
      </c>
      <c r="G10" t="s">
        <v>123</v>
      </c>
      <c r="H10">
        <v>9</v>
      </c>
      <c r="I10" s="1">
        <v>44044</v>
      </c>
      <c r="J10" s="1">
        <v>45442</v>
      </c>
      <c r="K10">
        <v>3</v>
      </c>
    </row>
    <row r="11" spans="1:11" x14ac:dyDescent="0.3">
      <c r="A11">
        <v>10</v>
      </c>
      <c r="B11" t="s">
        <v>138</v>
      </c>
      <c r="C11" t="s">
        <v>139</v>
      </c>
      <c r="D11" s="1">
        <v>37368</v>
      </c>
      <c r="E11" t="s">
        <v>126</v>
      </c>
      <c r="F11" t="s">
        <v>122</v>
      </c>
      <c r="G11" t="s">
        <v>123</v>
      </c>
      <c r="H11">
        <v>10</v>
      </c>
      <c r="I11" s="1">
        <v>44409</v>
      </c>
      <c r="J11" s="1">
        <v>45807</v>
      </c>
      <c r="K1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6798-48D0-412C-BC8F-283140D01179}">
  <dimension ref="A1:G11"/>
  <sheetViews>
    <sheetView workbookViewId="0">
      <selection activeCell="I27" sqref="I27"/>
    </sheetView>
  </sheetViews>
  <sheetFormatPr defaultRowHeight="14.4" x14ac:dyDescent="0.3"/>
  <cols>
    <col min="1" max="1" width="9.5546875" bestFit="1" customWidth="1"/>
    <col min="2" max="2" width="10.6640625" bestFit="1" customWidth="1"/>
    <col min="3" max="3" width="16" bestFit="1" customWidth="1"/>
    <col min="4" max="4" width="20" bestFit="1" customWidth="1"/>
    <col min="5" max="5" width="16.33203125" bestFit="1" customWidth="1"/>
    <col min="6" max="6" width="11.6640625" bestFit="1" customWidth="1"/>
    <col min="7" max="7" width="13.88671875" bestFit="1" customWidth="1"/>
  </cols>
  <sheetData>
    <row r="1" spans="1:7" x14ac:dyDescent="0.3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 x14ac:dyDescent="0.3">
      <c r="A2">
        <v>1</v>
      </c>
      <c r="B2" s="1">
        <v>44440</v>
      </c>
      <c r="C2" t="s">
        <v>147</v>
      </c>
      <c r="D2" t="s">
        <v>148</v>
      </c>
      <c r="E2" t="s">
        <v>149</v>
      </c>
      <c r="F2">
        <v>0</v>
      </c>
      <c r="G2" t="s">
        <v>150</v>
      </c>
    </row>
    <row r="3" spans="1:7" x14ac:dyDescent="0.3">
      <c r="A3">
        <v>2</v>
      </c>
      <c r="B3" s="1">
        <v>44576</v>
      </c>
      <c r="C3" t="s">
        <v>147</v>
      </c>
      <c r="D3" t="s">
        <v>151</v>
      </c>
      <c r="E3" t="s">
        <v>152</v>
      </c>
      <c r="F3">
        <v>0</v>
      </c>
      <c r="G3" t="s">
        <v>153</v>
      </c>
    </row>
    <row r="4" spans="1:7" x14ac:dyDescent="0.3">
      <c r="A4">
        <v>3</v>
      </c>
      <c r="B4" s="1">
        <v>44805</v>
      </c>
      <c r="C4" t="s">
        <v>154</v>
      </c>
      <c r="D4" t="s">
        <v>148</v>
      </c>
      <c r="E4" t="s">
        <v>155</v>
      </c>
      <c r="F4">
        <v>0</v>
      </c>
      <c r="G4" t="s">
        <v>150</v>
      </c>
    </row>
    <row r="5" spans="1:7" x14ac:dyDescent="0.3">
      <c r="A5">
        <v>4</v>
      </c>
      <c r="B5" s="1">
        <v>44941</v>
      </c>
      <c r="C5" t="s">
        <v>154</v>
      </c>
      <c r="D5" t="s">
        <v>151</v>
      </c>
      <c r="E5" t="s">
        <v>156</v>
      </c>
      <c r="F5">
        <v>0</v>
      </c>
      <c r="G5" t="s">
        <v>153</v>
      </c>
    </row>
    <row r="6" spans="1:7" x14ac:dyDescent="0.3">
      <c r="A6">
        <v>5</v>
      </c>
      <c r="B6" s="1">
        <v>45170</v>
      </c>
      <c r="C6" t="s">
        <v>157</v>
      </c>
      <c r="D6" t="s">
        <v>148</v>
      </c>
      <c r="E6" t="s">
        <v>158</v>
      </c>
      <c r="F6">
        <v>0</v>
      </c>
      <c r="G6" t="s">
        <v>150</v>
      </c>
    </row>
    <row r="7" spans="1:7" x14ac:dyDescent="0.3">
      <c r="A7">
        <v>6</v>
      </c>
      <c r="B7" s="1">
        <v>45306</v>
      </c>
      <c r="C7" t="s">
        <v>157</v>
      </c>
      <c r="D7" t="s">
        <v>151</v>
      </c>
      <c r="E7" t="s">
        <v>159</v>
      </c>
      <c r="F7">
        <v>0</v>
      </c>
      <c r="G7" t="s">
        <v>153</v>
      </c>
    </row>
    <row r="8" spans="1:7" x14ac:dyDescent="0.3">
      <c r="A8">
        <v>7</v>
      </c>
      <c r="B8" s="1">
        <v>44713</v>
      </c>
      <c r="C8" t="s">
        <v>147</v>
      </c>
      <c r="D8" t="s">
        <v>160</v>
      </c>
      <c r="E8" t="s">
        <v>161</v>
      </c>
      <c r="F8">
        <v>0</v>
      </c>
      <c r="G8" t="s">
        <v>162</v>
      </c>
    </row>
    <row r="9" spans="1:7" x14ac:dyDescent="0.3">
      <c r="A9">
        <v>8</v>
      </c>
      <c r="B9" s="1">
        <v>45078</v>
      </c>
      <c r="C9" t="s">
        <v>154</v>
      </c>
      <c r="D9" t="s">
        <v>160</v>
      </c>
      <c r="E9" t="s">
        <v>163</v>
      </c>
      <c r="F9">
        <v>0</v>
      </c>
      <c r="G9" t="s">
        <v>162</v>
      </c>
    </row>
    <row r="10" spans="1:7" x14ac:dyDescent="0.3">
      <c r="A10">
        <v>9</v>
      </c>
      <c r="B10" s="1">
        <v>45444</v>
      </c>
      <c r="C10" t="s">
        <v>157</v>
      </c>
      <c r="D10" t="s">
        <v>160</v>
      </c>
      <c r="E10" t="s">
        <v>164</v>
      </c>
      <c r="F10">
        <v>0</v>
      </c>
      <c r="G10" t="s">
        <v>162</v>
      </c>
    </row>
    <row r="11" spans="1:7" x14ac:dyDescent="0.3">
      <c r="A11">
        <v>10</v>
      </c>
      <c r="B11" s="1">
        <v>44555</v>
      </c>
      <c r="C11" t="s">
        <v>147</v>
      </c>
      <c r="D11" t="s">
        <v>148</v>
      </c>
      <c r="E11" t="s">
        <v>149</v>
      </c>
      <c r="F11">
        <v>1</v>
      </c>
      <c r="G11" t="s">
        <v>165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E7EF-C43F-4161-A528-6DD9A3F45967}">
  <dimension ref="A1:J11"/>
  <sheetViews>
    <sheetView workbookViewId="0">
      <selection activeCell="J19" sqref="J19"/>
    </sheetView>
  </sheetViews>
  <sheetFormatPr defaultRowHeight="14.4" x14ac:dyDescent="0.3"/>
  <cols>
    <col min="1" max="1" width="15" bestFit="1" customWidth="1"/>
    <col min="2" max="2" width="12.21875" bestFit="1" customWidth="1"/>
    <col min="3" max="3" width="11.33203125" bestFit="1" customWidth="1"/>
    <col min="4" max="4" width="13.88671875" bestFit="1" customWidth="1"/>
    <col min="5" max="5" width="18.21875" bestFit="1" customWidth="1"/>
    <col min="6" max="6" width="12.33203125" bestFit="1" customWidth="1"/>
    <col min="7" max="7" width="12.6640625" bestFit="1" customWidth="1"/>
    <col min="8" max="8" width="13.44140625" bestFit="1" customWidth="1"/>
    <col min="9" max="9" width="15.77734375" bestFit="1" customWidth="1"/>
    <col min="10" max="10" width="10" bestFit="1" customWidth="1"/>
  </cols>
  <sheetData>
    <row r="1" spans="1:10" x14ac:dyDescent="0.3">
      <c r="A1" t="s">
        <v>166</v>
      </c>
      <c r="B1" t="s">
        <v>111</v>
      </c>
      <c r="C1" t="s">
        <v>49</v>
      </c>
      <c r="D1" t="s">
        <v>84</v>
      </c>
      <c r="E1" t="s">
        <v>167</v>
      </c>
      <c r="F1" t="s">
        <v>0</v>
      </c>
      <c r="G1" t="s">
        <v>168</v>
      </c>
      <c r="H1" t="s">
        <v>169</v>
      </c>
      <c r="I1" t="s">
        <v>170</v>
      </c>
      <c r="J1" t="s">
        <v>171</v>
      </c>
    </row>
    <row r="2" spans="1:10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3.8</v>
      </c>
      <c r="H2" t="s">
        <v>172</v>
      </c>
      <c r="I2">
        <v>4</v>
      </c>
      <c r="J2" t="s">
        <v>173</v>
      </c>
    </row>
    <row r="3" spans="1:10" x14ac:dyDescent="0.3">
      <c r="A3">
        <v>2</v>
      </c>
      <c r="B3">
        <v>2</v>
      </c>
      <c r="C3">
        <v>2</v>
      </c>
      <c r="D3">
        <v>2</v>
      </c>
      <c r="E3">
        <v>1</v>
      </c>
      <c r="F3">
        <v>1</v>
      </c>
      <c r="G3">
        <v>3.2</v>
      </c>
      <c r="H3" t="s">
        <v>174</v>
      </c>
      <c r="I3">
        <v>4</v>
      </c>
      <c r="J3" t="s">
        <v>173</v>
      </c>
    </row>
    <row r="4" spans="1:10" x14ac:dyDescent="0.3">
      <c r="A4">
        <v>3</v>
      </c>
      <c r="B4">
        <v>3</v>
      </c>
      <c r="C4">
        <v>3</v>
      </c>
      <c r="D4">
        <v>3</v>
      </c>
      <c r="E4">
        <v>2</v>
      </c>
      <c r="F4">
        <v>1</v>
      </c>
      <c r="G4">
        <v>2.7</v>
      </c>
      <c r="H4" t="s">
        <v>175</v>
      </c>
      <c r="I4">
        <v>3</v>
      </c>
      <c r="J4" t="s">
        <v>173</v>
      </c>
    </row>
    <row r="5" spans="1:10" x14ac:dyDescent="0.3">
      <c r="A5">
        <v>4</v>
      </c>
      <c r="B5">
        <v>4</v>
      </c>
      <c r="C5">
        <v>4</v>
      </c>
      <c r="D5">
        <v>4</v>
      </c>
      <c r="E5">
        <v>2</v>
      </c>
      <c r="F5">
        <v>2</v>
      </c>
      <c r="G5">
        <v>2</v>
      </c>
      <c r="H5" t="s">
        <v>176</v>
      </c>
      <c r="I5">
        <v>3</v>
      </c>
      <c r="J5" t="s">
        <v>173</v>
      </c>
    </row>
    <row r="6" spans="1:10" x14ac:dyDescent="0.3">
      <c r="A6">
        <v>5</v>
      </c>
      <c r="B6">
        <v>5</v>
      </c>
      <c r="C6">
        <v>5</v>
      </c>
      <c r="D6">
        <v>5</v>
      </c>
      <c r="E6">
        <v>3</v>
      </c>
      <c r="F6">
        <v>2</v>
      </c>
      <c r="G6">
        <v>3.9</v>
      </c>
      <c r="H6" t="s">
        <v>172</v>
      </c>
      <c r="I6">
        <v>4</v>
      </c>
      <c r="J6" t="s">
        <v>173</v>
      </c>
    </row>
    <row r="7" spans="1:10" x14ac:dyDescent="0.3">
      <c r="A7">
        <v>6</v>
      </c>
      <c r="B7">
        <v>6</v>
      </c>
      <c r="C7">
        <v>6</v>
      </c>
      <c r="D7">
        <v>6</v>
      </c>
      <c r="E7">
        <v>3</v>
      </c>
      <c r="F7">
        <v>2</v>
      </c>
      <c r="G7">
        <v>3</v>
      </c>
      <c r="H7" t="s">
        <v>174</v>
      </c>
      <c r="I7">
        <v>3</v>
      </c>
      <c r="J7" t="s">
        <v>173</v>
      </c>
    </row>
    <row r="8" spans="1:10" x14ac:dyDescent="0.3">
      <c r="A8">
        <v>7</v>
      </c>
      <c r="B8">
        <v>7</v>
      </c>
      <c r="C8">
        <v>7</v>
      </c>
      <c r="D8">
        <v>7</v>
      </c>
      <c r="E8">
        <v>4</v>
      </c>
      <c r="F8">
        <v>3</v>
      </c>
      <c r="G8">
        <v>2.5</v>
      </c>
      <c r="H8" t="s">
        <v>175</v>
      </c>
      <c r="I8">
        <v>3</v>
      </c>
      <c r="J8" t="s">
        <v>177</v>
      </c>
    </row>
    <row r="9" spans="1:10" x14ac:dyDescent="0.3">
      <c r="A9">
        <v>8</v>
      </c>
      <c r="B9">
        <v>8</v>
      </c>
      <c r="C9">
        <v>8</v>
      </c>
      <c r="D9">
        <v>8</v>
      </c>
      <c r="E9">
        <v>4</v>
      </c>
      <c r="F9">
        <v>3</v>
      </c>
      <c r="G9">
        <v>3.7</v>
      </c>
      <c r="H9" t="s">
        <v>172</v>
      </c>
      <c r="I9">
        <v>3</v>
      </c>
      <c r="J9" t="s">
        <v>173</v>
      </c>
    </row>
    <row r="10" spans="1:10" x14ac:dyDescent="0.3">
      <c r="A10">
        <v>9</v>
      </c>
      <c r="B10">
        <v>9</v>
      </c>
      <c r="C10">
        <v>9</v>
      </c>
      <c r="D10">
        <v>9</v>
      </c>
      <c r="E10">
        <v>5</v>
      </c>
      <c r="F10">
        <v>3</v>
      </c>
      <c r="G10">
        <v>3.4</v>
      </c>
      <c r="H10" t="s">
        <v>174</v>
      </c>
      <c r="I10">
        <v>3</v>
      </c>
      <c r="J10" t="s">
        <v>173</v>
      </c>
    </row>
    <row r="11" spans="1:10" x14ac:dyDescent="0.3">
      <c r="A11">
        <v>10</v>
      </c>
      <c r="B11">
        <v>10</v>
      </c>
      <c r="C11">
        <v>10</v>
      </c>
      <c r="D11">
        <v>10</v>
      </c>
      <c r="E11">
        <v>5</v>
      </c>
      <c r="F11">
        <v>1</v>
      </c>
      <c r="G11">
        <v>3.6</v>
      </c>
      <c r="H11" t="s">
        <v>172</v>
      </c>
      <c r="I11">
        <v>4</v>
      </c>
      <c r="J11" t="s">
        <v>173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36DF-DC94-416F-AE89-7FC998DDAAEF}">
  <dimension ref="A1:O33"/>
  <sheetViews>
    <sheetView topLeftCell="A2" zoomScaleNormal="100" workbookViewId="0">
      <selection activeCell="O31" sqref="O31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19.44140625" bestFit="1" customWidth="1"/>
    <col min="4" max="4" width="12.5546875" bestFit="1" customWidth="1"/>
    <col min="5" max="5" width="19.44140625" bestFit="1" customWidth="1"/>
    <col min="6" max="6" width="20.21875" bestFit="1" customWidth="1"/>
    <col min="7" max="7" width="13.33203125" bestFit="1" customWidth="1"/>
    <col min="8" max="8" width="12" bestFit="1" customWidth="1"/>
    <col min="11" max="11" width="19" bestFit="1" customWidth="1"/>
    <col min="12" max="12" width="17" bestFit="1" customWidth="1"/>
  </cols>
  <sheetData>
    <row r="1" spans="1:1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">
      <c r="A9" s="5"/>
      <c r="B9" s="5"/>
      <c r="C9" s="5"/>
      <c r="D9" s="2" t="s">
        <v>182</v>
      </c>
      <c r="E9" s="2" t="s">
        <v>178</v>
      </c>
      <c r="I9" s="5"/>
      <c r="J9" s="5"/>
      <c r="K9" s="5"/>
      <c r="L9" s="5"/>
      <c r="M9" s="5"/>
      <c r="N9" s="5"/>
      <c r="O9" s="5"/>
    </row>
    <row r="10" spans="1:15" x14ac:dyDescent="0.3">
      <c r="A10" s="2" t="s">
        <v>180</v>
      </c>
      <c r="B10" t="s">
        <v>181</v>
      </c>
      <c r="C10" s="5"/>
      <c r="D10" s="2" t="s">
        <v>180</v>
      </c>
      <c r="E10" t="s">
        <v>4</v>
      </c>
      <c r="F10" t="s">
        <v>7</v>
      </c>
      <c r="G10" t="s">
        <v>10</v>
      </c>
      <c r="H10" t="s">
        <v>179</v>
      </c>
      <c r="I10" s="5"/>
      <c r="J10" s="5"/>
      <c r="K10" s="5"/>
      <c r="L10" s="5"/>
      <c r="M10" s="5"/>
      <c r="N10" s="5"/>
      <c r="O10" s="5"/>
    </row>
    <row r="11" spans="1:15" x14ac:dyDescent="0.3">
      <c r="A11" s="3" t="s">
        <v>147</v>
      </c>
      <c r="B11">
        <v>4</v>
      </c>
      <c r="C11" s="5"/>
      <c r="D11" s="3" t="s">
        <v>20</v>
      </c>
      <c r="F11">
        <v>3</v>
      </c>
      <c r="G11">
        <v>2.5</v>
      </c>
      <c r="H11">
        <v>2.75</v>
      </c>
      <c r="I11" s="5"/>
      <c r="J11" s="5"/>
      <c r="K11" s="2" t="s">
        <v>180</v>
      </c>
      <c r="L11" t="s">
        <v>183</v>
      </c>
      <c r="M11" s="5"/>
      <c r="N11" s="5"/>
      <c r="O11" s="5"/>
    </row>
    <row r="12" spans="1:15" x14ac:dyDescent="0.3">
      <c r="A12" s="3" t="s">
        <v>154</v>
      </c>
      <c r="B12">
        <v>4</v>
      </c>
      <c r="C12" s="5"/>
      <c r="D12" s="3" t="s">
        <v>22</v>
      </c>
      <c r="G12">
        <v>3.55</v>
      </c>
      <c r="H12">
        <v>3.55</v>
      </c>
      <c r="I12" s="5"/>
      <c r="J12" s="5"/>
      <c r="K12" s="3" t="s">
        <v>126</v>
      </c>
      <c r="L12">
        <v>5</v>
      </c>
      <c r="M12" s="5"/>
      <c r="N12" s="5"/>
      <c r="O12" s="5"/>
    </row>
    <row r="13" spans="1:15" x14ac:dyDescent="0.3">
      <c r="A13" s="3" t="s">
        <v>157</v>
      </c>
      <c r="B13">
        <v>2</v>
      </c>
      <c r="C13" s="5"/>
      <c r="D13" s="3" t="s">
        <v>16</v>
      </c>
      <c r="E13">
        <v>3.2333333333333329</v>
      </c>
      <c r="H13">
        <v>3.2333333333333329</v>
      </c>
      <c r="I13" s="5"/>
      <c r="J13" s="5"/>
      <c r="K13" s="3" t="s">
        <v>121</v>
      </c>
      <c r="L13">
        <v>5</v>
      </c>
      <c r="M13" s="5"/>
      <c r="N13" s="5"/>
      <c r="O13" s="5"/>
    </row>
    <row r="14" spans="1:15" x14ac:dyDescent="0.3">
      <c r="A14" s="3" t="s">
        <v>179</v>
      </c>
      <c r="B14">
        <v>10</v>
      </c>
      <c r="C14" s="5"/>
      <c r="D14" s="3" t="s">
        <v>24</v>
      </c>
      <c r="E14">
        <v>3.6</v>
      </c>
      <c r="H14">
        <v>3.6</v>
      </c>
      <c r="I14" s="5"/>
      <c r="J14" s="5"/>
      <c r="K14" s="3" t="s">
        <v>179</v>
      </c>
      <c r="L14">
        <v>10</v>
      </c>
      <c r="M14" s="5"/>
      <c r="N14" s="5"/>
      <c r="O14" s="5"/>
    </row>
    <row r="15" spans="1:15" x14ac:dyDescent="0.3">
      <c r="A15" s="5"/>
      <c r="B15" s="5"/>
      <c r="C15" s="5"/>
      <c r="D15" s="3" t="s">
        <v>18</v>
      </c>
      <c r="F15">
        <v>2.95</v>
      </c>
      <c r="H15">
        <v>2.95</v>
      </c>
      <c r="I15" s="5"/>
      <c r="J15" s="5"/>
      <c r="K15" s="5"/>
      <c r="L15" s="5"/>
      <c r="M15" s="5"/>
      <c r="N15" s="5"/>
      <c r="O15" s="5"/>
    </row>
    <row r="16" spans="1:15" x14ac:dyDescent="0.3">
      <c r="A16" s="5"/>
      <c r="B16" s="5"/>
      <c r="C16" s="5"/>
      <c r="D16" s="3" t="s">
        <v>179</v>
      </c>
      <c r="E16">
        <v>3.3250000000000002</v>
      </c>
      <c r="F16">
        <v>2.9666666666666668</v>
      </c>
      <c r="G16">
        <v>3.1999999999999997</v>
      </c>
      <c r="H16">
        <v>3.18</v>
      </c>
      <c r="I16" s="5"/>
      <c r="J16" s="5"/>
      <c r="K16" s="5"/>
      <c r="L16" s="5"/>
      <c r="M16" s="5"/>
      <c r="N16" s="5"/>
      <c r="O16" s="5"/>
    </row>
    <row r="17" spans="1:1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BFD0-F1AE-4228-8A83-8986518203B2}">
  <dimension ref="A1:W39"/>
  <sheetViews>
    <sheetView zoomScale="80" zoomScaleNormal="80" workbookViewId="0">
      <selection activeCell="V33" sqref="V33"/>
    </sheetView>
  </sheetViews>
  <sheetFormatPr defaultRowHeight="14.4" x14ac:dyDescent="0.3"/>
  <cols>
    <col min="1" max="1" width="20.109375" bestFit="1" customWidth="1"/>
    <col min="2" max="2" width="9.44140625" bestFit="1" customWidth="1"/>
    <col min="3" max="3" width="7.5546875" bestFit="1" customWidth="1"/>
    <col min="4" max="4" width="11.21875" bestFit="1" customWidth="1"/>
    <col min="5" max="5" width="10.77734375" bestFit="1" customWidth="1"/>
    <col min="6" max="6" width="21.5546875" bestFit="1" customWidth="1"/>
    <col min="7" max="7" width="20.44140625" bestFit="1" customWidth="1"/>
    <col min="8" max="8" width="19.44140625" bestFit="1" customWidth="1"/>
    <col min="9" max="9" width="18" bestFit="1" customWidth="1"/>
    <col min="10" max="10" width="21.33203125" bestFit="1" customWidth="1"/>
    <col min="11" max="11" width="19.44140625" bestFit="1" customWidth="1"/>
    <col min="12" max="12" width="5.109375" bestFit="1" customWidth="1"/>
    <col min="13" max="13" width="6.5546875" bestFit="1" customWidth="1"/>
    <col min="14" max="14" width="7.109375" bestFit="1" customWidth="1"/>
    <col min="15" max="15" width="5.21875" bestFit="1" customWidth="1"/>
    <col min="16" max="16" width="4.21875" bestFit="1" customWidth="1"/>
    <col min="17" max="17" width="5.21875" bestFit="1" customWidth="1"/>
    <col min="18" max="18" width="7.44140625" bestFit="1" customWidth="1"/>
    <col min="19" max="19" width="6.5546875" bestFit="1" customWidth="1"/>
    <col min="20" max="20" width="10.77734375" bestFit="1" customWidth="1"/>
  </cols>
  <sheetData>
    <row r="1" spans="1:23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6" x14ac:dyDescent="0.3">
      <c r="A2" s="8"/>
      <c r="B2" s="8"/>
      <c r="C2" s="8"/>
      <c r="D2" s="8"/>
      <c r="E2" s="8"/>
      <c r="F2" s="8"/>
      <c r="G2" s="8"/>
      <c r="H2" s="8"/>
      <c r="I2" s="12" t="s">
        <v>200</v>
      </c>
      <c r="J2" s="12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3">
      <c r="A3" s="8"/>
      <c r="B3" s="8"/>
      <c r="C3" s="8"/>
      <c r="D3" s="8"/>
      <c r="E3" s="8"/>
      <c r="F3" s="8"/>
      <c r="G3" s="8"/>
      <c r="H3" s="8"/>
      <c r="I3" s="2" t="s">
        <v>189</v>
      </c>
      <c r="J3" t="s">
        <v>181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3">
      <c r="A4" s="8"/>
      <c r="B4" s="8"/>
      <c r="C4" s="8"/>
      <c r="D4" s="8"/>
      <c r="E4" s="8"/>
      <c r="F4" s="8"/>
      <c r="G4" s="8"/>
      <c r="H4" s="8"/>
      <c r="I4" s="3" t="s">
        <v>95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x14ac:dyDescent="0.3">
      <c r="A5" s="8"/>
      <c r="B5" s="8"/>
      <c r="C5" s="8"/>
      <c r="D5" s="8"/>
      <c r="E5" s="8"/>
      <c r="F5" s="8"/>
      <c r="G5" s="8"/>
      <c r="H5" s="8"/>
      <c r="I5" s="4" t="s">
        <v>96</v>
      </c>
      <c r="J5">
        <v>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3">
      <c r="A6" s="8"/>
      <c r="B6" s="8"/>
      <c r="C6" s="8"/>
      <c r="D6" s="8"/>
      <c r="E6" s="8"/>
      <c r="F6" s="8"/>
      <c r="G6" s="8"/>
      <c r="H6" s="8"/>
      <c r="I6" s="3" t="s">
        <v>109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8" x14ac:dyDescent="0.35">
      <c r="A7" s="9" t="s">
        <v>187</v>
      </c>
      <c r="B7" s="10"/>
      <c r="C7" s="10"/>
      <c r="D7" s="10"/>
      <c r="E7" s="8"/>
      <c r="F7" s="14" t="s">
        <v>199</v>
      </c>
      <c r="G7" s="11"/>
      <c r="H7" s="8"/>
      <c r="I7" s="4" t="s">
        <v>110</v>
      </c>
      <c r="J7">
        <v>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3">
      <c r="A8" s="2" t="s">
        <v>184</v>
      </c>
      <c r="B8" s="2" t="s">
        <v>178</v>
      </c>
      <c r="E8" s="8"/>
      <c r="F8" s="2" t="s">
        <v>185</v>
      </c>
      <c r="G8" t="s">
        <v>182</v>
      </c>
      <c r="H8" s="8"/>
      <c r="I8" s="3" t="s">
        <v>107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3">
      <c r="A9" s="2" t="s">
        <v>186</v>
      </c>
      <c r="B9" t="s">
        <v>148</v>
      </c>
      <c r="C9" t="s">
        <v>151</v>
      </c>
      <c r="D9" t="s">
        <v>179</v>
      </c>
      <c r="E9" s="8"/>
      <c r="F9" s="3" t="s">
        <v>41</v>
      </c>
      <c r="G9">
        <v>3.7</v>
      </c>
      <c r="H9" s="8"/>
      <c r="I9" s="4" t="s">
        <v>108</v>
      </c>
      <c r="J9">
        <v>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3">
      <c r="A10" s="3" t="s">
        <v>64</v>
      </c>
      <c r="B10" s="6"/>
      <c r="C10" s="6">
        <v>1</v>
      </c>
      <c r="D10" s="6">
        <v>1</v>
      </c>
      <c r="E10" s="8"/>
      <c r="F10" s="3" t="s">
        <v>45</v>
      </c>
      <c r="G10">
        <v>3.6</v>
      </c>
      <c r="H10" s="8"/>
      <c r="I10" s="3" t="s">
        <v>101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3">
      <c r="A11" s="3" t="s">
        <v>79</v>
      </c>
      <c r="B11" s="6">
        <v>0</v>
      </c>
      <c r="C11" s="6"/>
      <c r="D11" s="6">
        <v>0</v>
      </c>
      <c r="E11" s="8"/>
      <c r="F11" s="3" t="s">
        <v>35</v>
      </c>
      <c r="G11">
        <v>3.9</v>
      </c>
      <c r="H11" s="8"/>
      <c r="I11" s="4" t="s">
        <v>102</v>
      </c>
      <c r="J11">
        <v>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3">
      <c r="A12" s="3" t="s">
        <v>58</v>
      </c>
      <c r="B12" s="6">
        <v>0</v>
      </c>
      <c r="C12" s="6"/>
      <c r="D12" s="6">
        <v>0</v>
      </c>
      <c r="E12" s="8"/>
      <c r="F12" s="3" t="s">
        <v>29</v>
      </c>
      <c r="G12">
        <v>3.5</v>
      </c>
      <c r="H12" s="8"/>
      <c r="I12" s="3" t="s">
        <v>105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3">
      <c r="A13" s="3" t="s">
        <v>70</v>
      </c>
      <c r="B13" s="6">
        <v>0</v>
      </c>
      <c r="C13" s="6"/>
      <c r="D13" s="6">
        <v>0</v>
      </c>
      <c r="E13" s="8"/>
      <c r="F13" s="3" t="s">
        <v>37</v>
      </c>
      <c r="G13">
        <v>3</v>
      </c>
      <c r="H13" s="8"/>
      <c r="I13" s="4" t="s">
        <v>106</v>
      </c>
      <c r="J13">
        <v>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x14ac:dyDescent="0.3">
      <c r="A14" s="3" t="s">
        <v>76</v>
      </c>
      <c r="B14" s="6"/>
      <c r="C14" s="6">
        <v>0</v>
      </c>
      <c r="D14" s="6">
        <v>0</v>
      </c>
      <c r="E14" s="8"/>
      <c r="F14" s="3" t="s">
        <v>43</v>
      </c>
      <c r="G14">
        <v>3.4</v>
      </c>
      <c r="H14" s="8"/>
      <c r="I14" s="3" t="s">
        <v>92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3">
      <c r="A15" s="3" t="s">
        <v>82</v>
      </c>
      <c r="B15" s="6">
        <v>0</v>
      </c>
      <c r="C15" s="6"/>
      <c r="D15" s="6">
        <v>0</v>
      </c>
      <c r="E15" s="8"/>
      <c r="F15" s="3" t="s">
        <v>39</v>
      </c>
      <c r="G15">
        <v>2.5</v>
      </c>
      <c r="H15" s="8"/>
      <c r="I15" s="4" t="s">
        <v>93</v>
      </c>
      <c r="J15">
        <v>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3">
      <c r="A16" s="3" t="s">
        <v>55</v>
      </c>
      <c r="B16" s="6">
        <v>0</v>
      </c>
      <c r="C16" s="6"/>
      <c r="D16" s="6">
        <v>0</v>
      </c>
      <c r="E16" s="8"/>
      <c r="F16" s="3" t="s">
        <v>31</v>
      </c>
      <c r="G16">
        <v>2.7</v>
      </c>
      <c r="H16" s="8"/>
      <c r="I16" s="3" t="s">
        <v>97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x14ac:dyDescent="0.3">
      <c r="A17" s="3" t="s">
        <v>67</v>
      </c>
      <c r="B17" s="6">
        <v>0</v>
      </c>
      <c r="C17" s="6"/>
      <c r="D17" s="6">
        <v>0</v>
      </c>
      <c r="E17" s="8"/>
      <c r="F17" s="3" t="s">
        <v>33</v>
      </c>
      <c r="G17">
        <v>2</v>
      </c>
      <c r="H17" s="8"/>
      <c r="I17" s="4" t="s">
        <v>98</v>
      </c>
      <c r="J17">
        <v>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3">
      <c r="A18" s="3" t="s">
        <v>61</v>
      </c>
      <c r="B18" s="6"/>
      <c r="C18" s="6">
        <v>0</v>
      </c>
      <c r="D18" s="6">
        <v>0</v>
      </c>
      <c r="E18" s="8"/>
      <c r="F18" s="3" t="s">
        <v>179</v>
      </c>
      <c r="G18">
        <v>3.18</v>
      </c>
      <c r="H18" s="8"/>
      <c r="I18" s="3" t="s">
        <v>89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3">
      <c r="A19" s="3" t="s">
        <v>73</v>
      </c>
      <c r="B19" s="6"/>
      <c r="C19" s="6">
        <v>1</v>
      </c>
      <c r="D19" s="6">
        <v>1</v>
      </c>
      <c r="E19" s="8"/>
      <c r="F19" s="8"/>
      <c r="G19" s="8"/>
      <c r="H19" s="8"/>
      <c r="I19" s="4" t="s">
        <v>90</v>
      </c>
      <c r="J19">
        <v>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3">
      <c r="A20" s="3" t="s">
        <v>179</v>
      </c>
      <c r="B20" s="6">
        <v>0</v>
      </c>
      <c r="C20" s="6">
        <v>0.5</v>
      </c>
      <c r="D20" s="6">
        <v>0.2</v>
      </c>
      <c r="E20" s="8"/>
      <c r="F20" s="8"/>
      <c r="G20" s="8"/>
      <c r="H20" s="8"/>
      <c r="I20" s="3" t="s">
        <v>99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x14ac:dyDescent="0.3">
      <c r="A21" s="8"/>
      <c r="B21" s="8"/>
      <c r="C21" s="8"/>
      <c r="D21" s="8"/>
      <c r="E21" s="8"/>
      <c r="F21" s="8"/>
      <c r="G21" s="8"/>
      <c r="H21" s="8"/>
      <c r="I21" s="4" t="s">
        <v>100</v>
      </c>
      <c r="J21">
        <v>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x14ac:dyDescent="0.3">
      <c r="A22" s="8"/>
      <c r="B22" s="8"/>
      <c r="C22" s="8"/>
      <c r="D22" s="8"/>
      <c r="E22" s="8"/>
      <c r="F22" s="8"/>
      <c r="G22" s="8"/>
      <c r="H22" s="8"/>
      <c r="I22" s="3" t="s">
        <v>103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x14ac:dyDescent="0.3">
      <c r="A23" s="11" t="s">
        <v>188</v>
      </c>
      <c r="B23" s="11"/>
      <c r="C23" s="8"/>
      <c r="D23" s="8"/>
      <c r="E23" s="8"/>
      <c r="F23" s="8"/>
      <c r="G23" s="8"/>
      <c r="H23" s="8"/>
      <c r="I23" s="4" t="s">
        <v>104</v>
      </c>
      <c r="J23">
        <v>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x14ac:dyDescent="0.3">
      <c r="A24" s="2" t="s">
        <v>186</v>
      </c>
      <c r="B24" t="s">
        <v>184</v>
      </c>
      <c r="C24" s="8"/>
      <c r="D24" s="8"/>
      <c r="E24" s="8"/>
      <c r="F24" s="8"/>
      <c r="G24" s="8"/>
      <c r="H24" s="8"/>
      <c r="I24" s="3" t="s">
        <v>179</v>
      </c>
      <c r="J24">
        <v>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x14ac:dyDescent="0.3">
      <c r="A25" s="3" t="s">
        <v>64</v>
      </c>
      <c r="B25" s="6">
        <v>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x14ac:dyDescent="0.3">
      <c r="A26" s="3" t="s">
        <v>79</v>
      </c>
      <c r="B26" s="6">
        <v>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x14ac:dyDescent="0.3">
      <c r="A27" s="3" t="s">
        <v>58</v>
      </c>
      <c r="B27" s="6">
        <v>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x14ac:dyDescent="0.3">
      <c r="A28" s="3" t="s">
        <v>70</v>
      </c>
      <c r="B28" s="6"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x14ac:dyDescent="0.3">
      <c r="A29" s="3" t="s">
        <v>76</v>
      </c>
      <c r="B29" s="6">
        <v>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x14ac:dyDescent="0.3">
      <c r="A30" s="3" t="s">
        <v>82</v>
      </c>
      <c r="B30" s="6">
        <v>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x14ac:dyDescent="0.3">
      <c r="A31" s="3" t="s">
        <v>55</v>
      </c>
      <c r="B31" s="6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x14ac:dyDescent="0.3">
      <c r="A32" s="3" t="s">
        <v>67</v>
      </c>
      <c r="B32" s="6"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x14ac:dyDescent="0.3">
      <c r="A33" s="3" t="s">
        <v>61</v>
      </c>
      <c r="B33" s="6">
        <v>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x14ac:dyDescent="0.3">
      <c r="A34" s="3" t="s">
        <v>73</v>
      </c>
      <c r="B34" s="6">
        <v>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x14ac:dyDescent="0.3">
      <c r="A35" s="3" t="s">
        <v>179</v>
      </c>
      <c r="B35" s="6">
        <v>0.2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</sheetData>
  <mergeCells count="4">
    <mergeCell ref="A7:D7"/>
    <mergeCell ref="A23:B23"/>
    <mergeCell ref="F7:G7"/>
    <mergeCell ref="I2:J2"/>
  </mergeCells>
  <conditionalFormatting pivot="1" sqref="B10:C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5:B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B4D7-C81C-48BD-B98F-5BABA534F47D}">
  <dimension ref="A1:R42"/>
  <sheetViews>
    <sheetView tabSelected="1" zoomScale="70" zoomScaleNormal="70" workbookViewId="0">
      <selection activeCell="B4" sqref="B4"/>
    </sheetView>
  </sheetViews>
  <sheetFormatPr defaultRowHeight="14.4" x14ac:dyDescent="0.3"/>
  <cols>
    <col min="1" max="1" width="21.77734375" bestFit="1" customWidth="1"/>
    <col min="2" max="2" width="20.5546875" bestFit="1" customWidth="1"/>
    <col min="5" max="5" width="21.77734375" bestFit="1" customWidth="1"/>
    <col min="6" max="6" width="31.109375" bestFit="1" customWidth="1"/>
    <col min="10" max="10" width="16.6640625" bestFit="1" customWidth="1"/>
    <col min="11" max="11" width="21.5546875" bestFit="1" customWidth="1"/>
    <col min="12" max="12" width="35.44140625" bestFit="1" customWidth="1"/>
    <col min="14" max="14" width="18.44140625" bestFit="1" customWidth="1"/>
    <col min="15" max="15" width="20.21875" bestFit="1" customWidth="1"/>
    <col min="16" max="16" width="11.88671875" bestFit="1" customWidth="1"/>
  </cols>
  <sheetData>
    <row r="1" spans="1:18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18" ht="15.6" x14ac:dyDescent="0.3">
      <c r="A7" s="13"/>
      <c r="B7" s="13"/>
      <c r="C7" s="13"/>
      <c r="D7" s="13"/>
      <c r="E7" s="12" t="s">
        <v>196</v>
      </c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18" x14ac:dyDescent="0.3">
      <c r="A8" s="11" t="s">
        <v>195</v>
      </c>
      <c r="B8" s="11"/>
      <c r="C8" s="13"/>
      <c r="D8" s="13"/>
      <c r="E8" s="2" t="s">
        <v>27</v>
      </c>
      <c r="F8" t="s">
        <v>191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18" x14ac:dyDescent="0.3">
      <c r="A9" s="2" t="s">
        <v>27</v>
      </c>
      <c r="B9" t="s">
        <v>190</v>
      </c>
      <c r="C9" s="13"/>
      <c r="D9" s="13"/>
      <c r="E9" s="3" t="s">
        <v>41</v>
      </c>
      <c r="F9">
        <v>4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18" x14ac:dyDescent="0.3">
      <c r="A10" s="3" t="s">
        <v>41</v>
      </c>
      <c r="B10">
        <v>3</v>
      </c>
      <c r="C10" s="13"/>
      <c r="D10" s="13"/>
      <c r="E10" s="3" t="s">
        <v>45</v>
      </c>
      <c r="F10">
        <v>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18" x14ac:dyDescent="0.3">
      <c r="A11" s="3" t="s">
        <v>45</v>
      </c>
      <c r="B11">
        <v>4</v>
      </c>
      <c r="C11" s="13"/>
      <c r="D11" s="13"/>
      <c r="E11" s="3" t="s">
        <v>35</v>
      </c>
      <c r="F11">
        <v>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18" x14ac:dyDescent="0.3">
      <c r="A12" s="3" t="s">
        <v>35</v>
      </c>
      <c r="B12">
        <v>4</v>
      </c>
      <c r="C12" s="13"/>
      <c r="D12" s="13"/>
      <c r="E12" s="3" t="s">
        <v>29</v>
      </c>
      <c r="F12">
        <v>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x14ac:dyDescent="0.3">
      <c r="A13" s="3" t="s">
        <v>29</v>
      </c>
      <c r="B13">
        <v>8</v>
      </c>
      <c r="C13" s="13"/>
      <c r="D13" s="13"/>
      <c r="E13" s="3" t="s">
        <v>37</v>
      </c>
      <c r="F13">
        <v>4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15.6" x14ac:dyDescent="0.3">
      <c r="A14" s="3" t="s">
        <v>37</v>
      </c>
      <c r="B14">
        <v>3</v>
      </c>
      <c r="C14" s="13"/>
      <c r="D14" s="13"/>
      <c r="E14" s="3" t="s">
        <v>43</v>
      </c>
      <c r="F14">
        <v>4</v>
      </c>
      <c r="G14" s="13"/>
      <c r="H14" s="13"/>
      <c r="I14" s="13"/>
      <c r="J14" s="12" t="s">
        <v>197</v>
      </c>
      <c r="K14" s="12"/>
      <c r="L14" s="13"/>
      <c r="M14" s="13"/>
      <c r="N14" s="13"/>
      <c r="O14" s="13"/>
      <c r="P14" s="13"/>
      <c r="Q14" s="13"/>
      <c r="R14" s="13"/>
    </row>
    <row r="15" spans="1:18" x14ac:dyDescent="0.3">
      <c r="A15" s="3" t="s">
        <v>43</v>
      </c>
      <c r="B15">
        <v>3</v>
      </c>
      <c r="C15" s="13"/>
      <c r="D15" s="13"/>
      <c r="E15" s="3" t="s">
        <v>39</v>
      </c>
      <c r="F15">
        <v>4</v>
      </c>
      <c r="G15" s="13"/>
      <c r="H15" s="13"/>
      <c r="I15" s="13"/>
      <c r="J15" s="2" t="s">
        <v>142</v>
      </c>
      <c r="K15" t="s">
        <v>181</v>
      </c>
      <c r="L15" s="13"/>
      <c r="M15" s="13"/>
      <c r="N15" s="13"/>
      <c r="O15" s="13"/>
      <c r="P15" s="13"/>
      <c r="Q15" s="13"/>
      <c r="R15" s="13"/>
    </row>
    <row r="16" spans="1:18" ht="15.6" x14ac:dyDescent="0.3">
      <c r="A16" s="3" t="s">
        <v>39</v>
      </c>
      <c r="B16">
        <v>3</v>
      </c>
      <c r="C16" s="13"/>
      <c r="D16" s="13"/>
      <c r="E16" s="3" t="s">
        <v>31</v>
      </c>
      <c r="F16">
        <v>4</v>
      </c>
      <c r="G16" s="13"/>
      <c r="H16" s="13"/>
      <c r="I16" s="13"/>
      <c r="J16" s="3" t="s">
        <v>147</v>
      </c>
      <c r="K16">
        <v>4</v>
      </c>
      <c r="L16" s="13"/>
      <c r="M16" s="13"/>
      <c r="N16" s="12" t="s">
        <v>198</v>
      </c>
      <c r="O16" s="12"/>
      <c r="P16" s="12"/>
      <c r="Q16" s="13"/>
      <c r="R16" s="13"/>
    </row>
    <row r="17" spans="1:18" x14ac:dyDescent="0.3">
      <c r="A17" s="3" t="s">
        <v>31</v>
      </c>
      <c r="B17">
        <v>3</v>
      </c>
      <c r="C17" s="13"/>
      <c r="D17" s="13"/>
      <c r="E17" s="3" t="s">
        <v>47</v>
      </c>
      <c r="F17">
        <v>4</v>
      </c>
      <c r="G17" s="13"/>
      <c r="H17" s="13"/>
      <c r="I17" s="13"/>
      <c r="J17" s="3" t="s">
        <v>154</v>
      </c>
      <c r="K17">
        <v>4</v>
      </c>
      <c r="L17" s="13"/>
      <c r="M17" s="13"/>
      <c r="N17" t="s">
        <v>192</v>
      </c>
      <c r="O17" t="s">
        <v>193</v>
      </c>
      <c r="P17" t="s">
        <v>194</v>
      </c>
      <c r="Q17" s="13"/>
      <c r="R17" s="13"/>
    </row>
    <row r="18" spans="1:18" x14ac:dyDescent="0.3">
      <c r="A18" s="3" t="s">
        <v>33</v>
      </c>
      <c r="B18">
        <v>3</v>
      </c>
      <c r="C18" s="13"/>
      <c r="D18" s="13"/>
      <c r="E18" s="3" t="s">
        <v>33</v>
      </c>
      <c r="F18">
        <v>4</v>
      </c>
      <c r="G18" s="13"/>
      <c r="H18" s="13"/>
      <c r="I18" s="13"/>
      <c r="J18" s="3" t="s">
        <v>157</v>
      </c>
      <c r="K18">
        <v>2</v>
      </c>
      <c r="L18" s="13"/>
      <c r="M18" s="13"/>
      <c r="N18" s="7">
        <v>500</v>
      </c>
      <c r="O18" s="7">
        <v>10</v>
      </c>
      <c r="P18" s="6">
        <v>0.02</v>
      </c>
      <c r="Q18" s="13"/>
      <c r="R18" s="13"/>
    </row>
    <row r="19" spans="1:18" x14ac:dyDescent="0.3">
      <c r="A19" s="3" t="s">
        <v>179</v>
      </c>
      <c r="B19">
        <v>34</v>
      </c>
      <c r="C19" s="13"/>
      <c r="D19" s="13"/>
      <c r="E19" s="3" t="s">
        <v>179</v>
      </c>
      <c r="F19">
        <v>4</v>
      </c>
      <c r="G19" s="13"/>
      <c r="H19" s="13"/>
      <c r="I19" s="13"/>
      <c r="J19" s="3" t="s">
        <v>179</v>
      </c>
      <c r="K19">
        <v>10</v>
      </c>
      <c r="L19" s="13"/>
      <c r="M19" s="13"/>
      <c r="N19" s="13"/>
      <c r="O19" s="13"/>
      <c r="P19" s="13"/>
      <c r="Q19" s="13"/>
      <c r="R19" s="13"/>
    </row>
    <row r="20" spans="1:18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18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8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1:18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1:18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</sheetData>
  <mergeCells count="4">
    <mergeCell ref="A8:B8"/>
    <mergeCell ref="E7:F7"/>
    <mergeCell ref="J14:K14"/>
    <mergeCell ref="N16:P16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Props1.xml><?xml version="1.0" encoding="utf-8"?>
<ds:datastoreItem xmlns:ds="http://schemas.openxmlformats.org/officeDocument/2006/customXml" ds:itemID="{D079D394-F4E8-4544-BE1A-55C5C8FC2AE9}">
  <ds:schemaRefs/>
</ds:datastoreItem>
</file>

<file path=customXml/itemProps2.xml><?xml version="1.0" encoding="utf-8"?>
<ds:datastoreItem xmlns:ds="http://schemas.openxmlformats.org/officeDocument/2006/customXml" ds:itemID="{669ACC66-9255-44C1-97AC-619EB3C872EE}">
  <ds:schemaRefs/>
</ds:datastoreItem>
</file>

<file path=customXml/itemProps3.xml><?xml version="1.0" encoding="utf-8"?>
<ds:datastoreItem xmlns:ds="http://schemas.openxmlformats.org/officeDocument/2006/customXml" ds:itemID="{925477C2-8864-4050-897C-80C2AD3F75FF}">
  <ds:schemaRefs/>
</ds:datastoreItem>
</file>

<file path=customXml/itemProps4.xml><?xml version="1.0" encoding="utf-8"?>
<ds:datastoreItem xmlns:ds="http://schemas.openxmlformats.org/officeDocument/2006/customXml" ds:itemID="{4AB0DA2D-1806-4018-BAF9-F86954F88814}">
  <ds:schemaRefs/>
</ds:datastoreItem>
</file>

<file path=customXml/itemProps5.xml><?xml version="1.0" encoding="utf-8"?>
<ds:datastoreItem xmlns:ds="http://schemas.openxmlformats.org/officeDocument/2006/customXml" ds:itemID="{E0182BAF-473F-4370-BFFC-C8B1ED821F90}">
  <ds:schemaRefs/>
</ds:datastoreItem>
</file>

<file path=customXml/itemProps6.xml><?xml version="1.0" encoding="utf-8"?>
<ds:datastoreItem xmlns:ds="http://schemas.openxmlformats.org/officeDocument/2006/customXml" ds:itemID="{9BF545B0-5784-4B48-8228-E0988BFC9986}">
  <ds:schemaRefs/>
</ds:datastoreItem>
</file>

<file path=customXml/itemProps7.xml><?xml version="1.0" encoding="utf-8"?>
<ds:datastoreItem xmlns:ds="http://schemas.openxmlformats.org/officeDocument/2006/customXml" ds:itemID="{1A5902C9-D1B6-4F6D-BB9A-7E704B0F08D9}">
  <ds:schemaRefs/>
</ds:datastoreItem>
</file>

<file path=customXml/itemProps8.xml><?xml version="1.0" encoding="utf-8"?>
<ds:datastoreItem xmlns:ds="http://schemas.openxmlformats.org/officeDocument/2006/customXml" ds:itemID="{747DA195-EE17-4F4E-B2DB-17AFE85B9831}">
  <ds:schemaRefs/>
</ds:datastoreItem>
</file>

<file path=customXml/itemProps9.xml><?xml version="1.0" encoding="utf-8"?>
<ds:datastoreItem xmlns:ds="http://schemas.openxmlformats.org/officeDocument/2006/customXml" ds:itemID="{ACB65570-0B91-4F9A-A49A-5BE95882A62D}">
  <ds:schemaRefs/>
</ds:datastoreItem>
</file>

<file path=customXml/itemProps10.xml><?xml version="1.0" encoding="utf-8"?>
<ds:datastoreItem xmlns:ds="http://schemas.openxmlformats.org/officeDocument/2006/customXml" ds:itemID="{D85E5959-D828-4AB7-900B-5E3A0FF4931F}">
  <ds:schemaRefs>
    <ds:schemaRef ds:uri="http://www.w3.org/2001/XMLSchema"/>
    <ds:schemaRef ds:uri="http://microsoft.data.visualization.Client.Excel/1.0"/>
  </ds:schemaRefs>
</ds:datastoreItem>
</file>

<file path=customXml/itemProps11.xml><?xml version="1.0" encoding="utf-8"?>
<ds:datastoreItem xmlns:ds="http://schemas.openxmlformats.org/officeDocument/2006/customXml" ds:itemID="{46DA6D2E-08F3-4591-8771-0EE2FD268C95}">
  <ds:schemaRefs/>
</ds:datastoreItem>
</file>

<file path=customXml/itemProps12.xml><?xml version="1.0" encoding="utf-8"?>
<ds:datastoreItem xmlns:ds="http://schemas.openxmlformats.org/officeDocument/2006/customXml" ds:itemID="{9084F5DD-280E-4895-9C4F-32BF6D003459}">
  <ds:schemaRefs/>
</ds:datastoreItem>
</file>

<file path=customXml/itemProps13.xml><?xml version="1.0" encoding="utf-8"?>
<ds:datastoreItem xmlns:ds="http://schemas.openxmlformats.org/officeDocument/2006/customXml" ds:itemID="{7EC776C1-C8E5-4621-B521-0E3E69411C22}">
  <ds:schemaRefs/>
</ds:datastoreItem>
</file>

<file path=customXml/itemProps14.xml><?xml version="1.0" encoding="utf-8"?>
<ds:datastoreItem xmlns:ds="http://schemas.openxmlformats.org/officeDocument/2006/customXml" ds:itemID="{4E3E7B7E-C950-4E61-AEF1-BFC184259FB1}">
  <ds:schemaRefs/>
</ds:datastoreItem>
</file>

<file path=customXml/itemProps15.xml><?xml version="1.0" encoding="utf-8"?>
<ds:datastoreItem xmlns:ds="http://schemas.openxmlformats.org/officeDocument/2006/customXml" ds:itemID="{34783352-6C33-4F3F-974E-C193770BE74E}">
  <ds:schemaRefs/>
</ds:datastoreItem>
</file>

<file path=customXml/itemProps16.xml><?xml version="1.0" encoding="utf-8"?>
<ds:datastoreItem xmlns:ds="http://schemas.openxmlformats.org/officeDocument/2006/customXml" ds:itemID="{483D2F6F-FEC3-4E6D-905F-CB493A24CD65}">
  <ds:schemaRefs/>
</ds:datastoreItem>
</file>

<file path=customXml/itemProps17.xml><?xml version="1.0" encoding="utf-8"?>
<ds:datastoreItem xmlns:ds="http://schemas.openxmlformats.org/officeDocument/2006/customXml" ds:itemID="{F9986423-B708-42CB-AB90-739FD640046D}">
  <ds:schemaRefs/>
</ds:datastoreItem>
</file>

<file path=customXml/itemProps18.xml><?xml version="1.0" encoding="utf-8"?>
<ds:datastoreItem xmlns:ds="http://schemas.openxmlformats.org/officeDocument/2006/customXml" ds:itemID="{FDAD4363-17BF-4FF9-A53F-4DD33A9C984B}">
  <ds:schemaRefs/>
</ds:datastoreItem>
</file>

<file path=customXml/itemProps19.xml><?xml version="1.0" encoding="utf-8"?>
<ds:datastoreItem xmlns:ds="http://schemas.openxmlformats.org/officeDocument/2006/customXml" ds:itemID="{39D5BBB2-82E6-4363-B53F-B783147791BC}">
  <ds:schemaRefs/>
</ds:datastoreItem>
</file>

<file path=customXml/itemProps20.xml><?xml version="1.0" encoding="utf-8"?>
<ds:datastoreItem xmlns:ds="http://schemas.openxmlformats.org/officeDocument/2006/customXml" ds:itemID="{CB86A33F-5C33-4438-80BF-D9A6CA7CCD2F}">
  <ds:schemaRefs/>
</ds:datastoreItem>
</file>

<file path=customXml/itemProps21.xml><?xml version="1.0" encoding="utf-8"?>
<ds:datastoreItem xmlns:ds="http://schemas.openxmlformats.org/officeDocument/2006/customXml" ds:itemID="{35DED91B-0DC8-4F83-8459-DB2A3A62A5FD}">
  <ds:schemaRefs/>
</ds:datastoreItem>
</file>

<file path=customXml/itemProps22.xml><?xml version="1.0" encoding="utf-8"?>
<ds:datastoreItem xmlns:ds="http://schemas.openxmlformats.org/officeDocument/2006/customXml" ds:itemID="{2AA1C97F-2A4A-485C-A5A6-B73AB83ACAF5}">
  <ds:schemaRefs/>
</ds:datastoreItem>
</file>

<file path=customXml/itemProps23.xml><?xml version="1.0" encoding="utf-8"?>
<ds:datastoreItem xmlns:ds="http://schemas.openxmlformats.org/officeDocument/2006/customXml" ds:itemID="{D9914655-90FD-4763-B6AE-826971820BB1}">
  <ds:schemaRefs/>
</ds:datastoreItem>
</file>

<file path=customXml/itemProps24.xml><?xml version="1.0" encoding="utf-8"?>
<ds:datastoreItem xmlns:ds="http://schemas.openxmlformats.org/officeDocument/2006/customXml" ds:itemID="{5B9465B6-304D-4C1A-BFC1-935E19BE612B}">
  <ds:schemaRefs/>
</ds:datastoreItem>
</file>

<file path=customXml/itemProps25.xml><?xml version="1.0" encoding="utf-8"?>
<ds:datastoreItem xmlns:ds="http://schemas.openxmlformats.org/officeDocument/2006/customXml" ds:itemID="{AD44DFFD-AB43-4FF9-A29F-74068C800E8F}">
  <ds:schemaRefs/>
</ds:datastoreItem>
</file>

<file path=customXml/itemProps26.xml><?xml version="1.0" encoding="utf-8"?>
<ds:datastoreItem xmlns:ds="http://schemas.openxmlformats.org/officeDocument/2006/customXml" ds:itemID="{A89F9CB1-2C4F-42F1-A70C-B8470D23B0A2}">
  <ds:schemaRefs/>
</ds:datastoreItem>
</file>

<file path=customXml/itemProps27.xml><?xml version="1.0" encoding="utf-8"?>
<ds:datastoreItem xmlns:ds="http://schemas.openxmlformats.org/officeDocument/2006/customXml" ds:itemID="{F7038C15-DE58-40EC-9FC4-A7E75486FD84}">
  <ds:schemaRefs/>
</ds:datastoreItem>
</file>

<file path=customXml/itemProps28.xml><?xml version="1.0" encoding="utf-8"?>
<ds:datastoreItem xmlns:ds="http://schemas.openxmlformats.org/officeDocument/2006/customXml" ds:itemID="{EEEDFE9C-C112-4FCF-8B17-8BBD4080881B}">
  <ds:schemaRefs>
    <ds:schemaRef ds:uri="http://www.w3.org/2001/XMLSchema"/>
    <ds:schemaRef ds:uri="http://microsoft.data.visualization.engine.tours/1.0"/>
  </ds:schemaRefs>
</ds:datastoreItem>
</file>

<file path=customXml/itemProps29.xml><?xml version="1.0" encoding="utf-8"?>
<ds:datastoreItem xmlns:ds="http://schemas.openxmlformats.org/officeDocument/2006/customXml" ds:itemID="{DBA5C919-6D37-4A06-9978-CA309C39AF6B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FC2D3B71-4DA0-487F-99F8-20B87B8677A7}">
  <ds:schemaRefs/>
</ds:datastoreItem>
</file>

<file path=customXml/itemProps31.xml><?xml version="1.0" encoding="utf-8"?>
<ds:datastoreItem xmlns:ds="http://schemas.openxmlformats.org/officeDocument/2006/customXml" ds:itemID="{51525BF6-A6CF-44D1-93DF-4AA7E83EAD64}">
  <ds:schemaRefs/>
</ds:datastoreItem>
</file>

<file path=customXml/itemProps32.xml><?xml version="1.0" encoding="utf-8"?>
<ds:datastoreItem xmlns:ds="http://schemas.openxmlformats.org/officeDocument/2006/customXml" ds:itemID="{857555B3-9A47-4467-BF4A-EB839A671F5B}">
  <ds:schemaRefs/>
</ds:datastoreItem>
</file>

<file path=customXml/itemProps33.xml><?xml version="1.0" encoding="utf-8"?>
<ds:datastoreItem xmlns:ds="http://schemas.openxmlformats.org/officeDocument/2006/customXml" ds:itemID="{266660CB-27F3-4F10-8E0C-3949B96E1AA6}">
  <ds:schemaRefs/>
</ds:datastoreItem>
</file>

<file path=customXml/itemProps34.xml><?xml version="1.0" encoding="utf-8"?>
<ds:datastoreItem xmlns:ds="http://schemas.openxmlformats.org/officeDocument/2006/customXml" ds:itemID="{33AB9015-EE51-40E9-BF94-0865692AD752}">
  <ds:schemaRefs/>
</ds:datastoreItem>
</file>

<file path=customXml/itemProps35.xml><?xml version="1.0" encoding="utf-8"?>
<ds:datastoreItem xmlns:ds="http://schemas.openxmlformats.org/officeDocument/2006/customXml" ds:itemID="{9DFC15E6-4E86-408A-9C22-3FF82B9558B9}">
  <ds:schemaRefs/>
</ds:datastoreItem>
</file>

<file path=customXml/itemProps36.xml><?xml version="1.0" encoding="utf-8"?>
<ds:datastoreItem xmlns:ds="http://schemas.openxmlformats.org/officeDocument/2006/customXml" ds:itemID="{367B8F9C-3757-4D89-B24B-5D969E5E2A67}">
  <ds:schemaRefs/>
</ds:datastoreItem>
</file>

<file path=customXml/itemProps37.xml><?xml version="1.0" encoding="utf-8"?>
<ds:datastoreItem xmlns:ds="http://schemas.openxmlformats.org/officeDocument/2006/customXml" ds:itemID="{42D04481-2FEC-40BC-B56F-0876201F03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 Campus</vt:lpstr>
      <vt:lpstr>2 Faculty</vt:lpstr>
      <vt:lpstr>3 Department</vt:lpstr>
      <vt:lpstr>4 Course</vt:lpstr>
      <vt:lpstr>5 Instructor</vt:lpstr>
      <vt:lpstr>6 Student</vt:lpstr>
      <vt:lpstr>7 Date</vt:lpstr>
      <vt:lpstr>8 Fact Course Enrollment</vt:lpstr>
      <vt:lpstr>Provost’s Dashboard</vt:lpstr>
      <vt:lpstr>Department Chair's Dashboard</vt:lpstr>
      <vt:lpstr>Registrar's Operational Dashboa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Shreeganesh Taralekar</dc:creator>
  <cp:lastModifiedBy>Shreeganesh Taralekar</cp:lastModifiedBy>
  <dcterms:created xsi:type="dcterms:W3CDTF">2025-09-18T07:37:52Z</dcterms:created>
  <dcterms:modified xsi:type="dcterms:W3CDTF">2025-09-19T07:50:18Z</dcterms:modified>
</cp:coreProperties>
</file>